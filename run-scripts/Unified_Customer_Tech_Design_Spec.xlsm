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ganapat/Downloads/Rawvault Refactor/"/>
    </mc:Choice>
  </mc:AlternateContent>
  <xr:revisionPtr revIDLastSave="0" documentId="13_ncr:1_{A9020DBA-65AC-1643-AD1D-170F51D0E73A}" xr6:coauthVersionLast="47" xr6:coauthVersionMax="47" xr10:uidLastSave="{00000000-0000-0000-0000-000000000000}"/>
  <bookViews>
    <workbookView xWindow="38400" yWindow="500" windowWidth="38400" windowHeight="21100" tabRatio="743" xr2:uid="{83D64EDB-B493-4CC4-8D6A-7D9EB9ECBB92}"/>
  </bookViews>
  <sheets>
    <sheet name="Index" sheetId="50" r:id="rId1"/>
    <sheet name="STG CUST EMTK EBS SALES Tables" sheetId="20" r:id="rId2"/>
    <sheet name="STG CUST EMTK EBS SALES Columns" sheetId="23" r:id="rId3"/>
    <sheet name="STG CUSTOMER ML EBS Tables" sheetId="39" r:id="rId4"/>
    <sheet name="STG CUSTOMER ML EBS Columns" sheetId="40" r:id="rId5"/>
    <sheet name="STG CUSTOMER TT E21 Tables" sheetId="42" r:id="rId6"/>
    <sheet name="STG CUSTOMER TT E21 Columns" sheetId="43" r:id="rId7"/>
    <sheet name="STG SHIPMENT MOEN SAP Tables" sheetId="44" r:id="rId8"/>
    <sheet name="STG SHIPMENT MOEN SAP Columns" sheetId="45" r:id="rId9"/>
    <sheet name="STG SHP INPTS MOEN SAP Tables" sheetId="46" r:id="rId10"/>
    <sheet name="STG SHP INPTS MOEN SAP Columns" sheetId="47" r:id="rId11"/>
    <sheet name="HUB CUSTOMER Tables" sheetId="1" r:id="rId12"/>
    <sheet name="HUB CUSTOMER Columns" sheetId="2" r:id="rId13"/>
    <sheet name="SAT CUS DTL EMT EBS Tables" sheetId="28" r:id="rId14"/>
    <sheet name="SAT CUS DTL EMT EBS Columns" sheetId="31" r:id="rId15"/>
    <sheet name="SAT CUSTOMER ML EBS Tables" sheetId="36" r:id="rId16"/>
    <sheet name="SAT CUSTOMER ML EBS Columns" sheetId="37" r:id="rId17"/>
    <sheet name="Notes" sheetId="5" r:id="rId18"/>
    <sheet name="Sample SQL (optional)" sheetId="3" r:id="rId19"/>
  </sheets>
  <definedNames>
    <definedName name="ListSheets">REPLACE(GET.WORKBOOK(1),1,FIND("]",GET.WORKBOOK(1)),"")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" i="31" l="1"/>
  <c r="H22" i="31" s="1"/>
  <c r="H23" i="31" s="1"/>
  <c r="H24" i="31" s="1"/>
  <c r="H25" i="31" s="1"/>
  <c r="H26" i="31" s="1"/>
  <c r="H27" i="31" s="1"/>
  <c r="H28" i="31" s="1"/>
  <c r="H29" i="31" s="1"/>
  <c r="H30" i="31" s="1"/>
  <c r="H31" i="31" s="1"/>
  <c r="H32" i="31" s="1"/>
  <c r="H33" i="31" s="1"/>
  <c r="H34" i="31" s="1"/>
  <c r="H35" i="31" s="1"/>
  <c r="H36" i="31" s="1"/>
  <c r="H37" i="31" s="1"/>
  <c r="H38" i="31" s="1"/>
  <c r="H39" i="31" s="1"/>
  <c r="H40" i="31" s="1"/>
  <c r="H41" i="31" s="1"/>
  <c r="J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tc={60142B53-B36E-6342-A46F-39C6542AD94E}</author>
  </authors>
  <commentList>
    <comment ref="F6" authorId="0" shapeId="0" xr:uid="{60142B53-B36E-6342-A46F-39C6542AD94E}">
      <text>
        <t>[Threaded comment]
Your version of Excel allows you to read this threaded comment; however, any edits to it will get removed if the file is opened in a newer version of Excel. Learn more: https://go.microsoft.com/fwlink/?linkid=870924
Comment:
    Prevailing design has duplicate listed</t>
      </text>
    </comment>
  </commentList>
</comments>
</file>

<file path=xl/sharedStrings.xml><?xml version="1.0" encoding="utf-8"?>
<sst xmlns="http://schemas.openxmlformats.org/spreadsheetml/2006/main" count="4267" uniqueCount="567">
  <si>
    <t>Source Schema</t>
  </si>
  <si>
    <t>Source Table</t>
  </si>
  <si>
    <t>Alias</t>
  </si>
  <si>
    <t>Filter Conditions</t>
  </si>
  <si>
    <t>Parent Join Number</t>
  </si>
  <si>
    <t>Parent Table Join</t>
  </si>
  <si>
    <t>Child Table Join</t>
  </si>
  <si>
    <t>Join Type</t>
  </si>
  <si>
    <t>a</t>
  </si>
  <si>
    <t>Source Column</t>
  </si>
  <si>
    <t>Datatype</t>
  </si>
  <si>
    <t>Automated Logic</t>
  </si>
  <si>
    <t>Manual Logic</t>
  </si>
  <si>
    <t>Mapping Notes</t>
  </si>
  <si>
    <t>Order#</t>
  </si>
  <si>
    <t>Staging Layer Column Name</t>
  </si>
  <si>
    <t>Staging Layer Datatype</t>
  </si>
  <si>
    <t>Unique</t>
  </si>
  <si>
    <t>Not Null</t>
  </si>
  <si>
    <t>Remove Column</t>
  </si>
  <si>
    <t>Set Default</t>
  </si>
  <si>
    <t>Test Expression</t>
  </si>
  <si>
    <t>Accepted Values</t>
  </si>
  <si>
    <t>(DERIVED)</t>
  </si>
  <si>
    <t>ITEM_BK</t>
  </si>
  <si>
    <t>TEXT</t>
  </si>
  <si>
    <t>not_null</t>
  </si>
  <si>
    <t>TIMESTAMP_NTZ</t>
  </si>
  <si>
    <t>DATE</t>
  </si>
  <si>
    <t>LOAD_DTS</t>
  </si>
  <si>
    <t>TIMESTAMP</t>
  </si>
  <si>
    <t>REC_SRC</t>
  </si>
  <si>
    <t>FLOAT</t>
  </si>
  <si>
    <t>ATTRIBUTE3</t>
  </si>
  <si>
    <t>ATTRIBUTE2</t>
  </si>
  <si>
    <t>ATTRIBUTE1</t>
  </si>
  <si>
    <t>ATTRIBUTE9</t>
  </si>
  <si>
    <t>ATTRIBUTE8</t>
  </si>
  <si>
    <t>ATTRIBUTE7</t>
  </si>
  <si>
    <t>ATTRIBUTE6</t>
  </si>
  <si>
    <t>ATTRIBUTE5</t>
  </si>
  <si>
    <t>ATTRIBUTE4</t>
  </si>
  <si>
    <t>OVER_SHIPMENT_TOLERANCE</t>
  </si>
  <si>
    <t>ATTRIBUTE10</t>
  </si>
  <si>
    <t>ATTRIBUTE14</t>
  </si>
  <si>
    <t>ATTRIBUTE13</t>
  </si>
  <si>
    <t>ATTRIBUTE12</t>
  </si>
  <si>
    <t>ATTRIBUTE11</t>
  </si>
  <si>
    <t>ATTRIBUTE21</t>
  </si>
  <si>
    <t>ATTRIBUTE20</t>
  </si>
  <si>
    <t>ATTRIBUTE24</t>
  </si>
  <si>
    <t>ATTRIBUTE23</t>
  </si>
  <si>
    <t>ATTRIBUTE22</t>
  </si>
  <si>
    <t>ATTRIBUTE18</t>
  </si>
  <si>
    <t>ATTRIBUTE17</t>
  </si>
  <si>
    <t>ATTRIBUTE16</t>
  </si>
  <si>
    <t>ATTRIBUTE15</t>
  </si>
  <si>
    <t>ATTRIBUTE19</t>
  </si>
  <si>
    <t>GLOBAL_ATTRIBUTE10</t>
  </si>
  <si>
    <t>OBJECT_VERSION_NUMBER</t>
  </si>
  <si>
    <t>GLOBAL_ATTRIBUTE_CATEGORY</t>
  </si>
  <si>
    <t>PRIMARY_SPECIALIST_ID</t>
  </si>
  <si>
    <t>GLOBAL_ATTRIBUTE5</t>
  </si>
  <si>
    <t>GLOBAL_ATTRIBUTE4</t>
  </si>
  <si>
    <t>UNDER_RETURN_TOLERANCE</t>
  </si>
  <si>
    <t>GLOBAL_ATTRIBUTE7</t>
  </si>
  <si>
    <t>GLOBAL_ATTRIBUTE6</t>
  </si>
  <si>
    <t>GLOBAL_ATTRIBUTE1</t>
  </si>
  <si>
    <t>GLOBAL_ATTRIBUTE3</t>
  </si>
  <si>
    <t>GLOBAL_ATTRIBUTE2</t>
  </si>
  <si>
    <t>GLOBAL_ATTRIBUTE9</t>
  </si>
  <si>
    <t>GLOBAL_ATTRIBUTE8</t>
  </si>
  <si>
    <t>OVER_RETURN_TOLERANCE</t>
  </si>
  <si>
    <t>GLOBAL_ATTRIBUTE20</t>
  </si>
  <si>
    <t>GLOBAL_ATTRIBUTE17</t>
  </si>
  <si>
    <t>GLOBAL_ATTRIBUTE18</t>
  </si>
  <si>
    <t>GLOBAL_ATTRIBUTE15</t>
  </si>
  <si>
    <t>GLOBAL_ATTRIBUTE16</t>
  </si>
  <si>
    <t>GLOBAL_ATTRIBUTE13</t>
  </si>
  <si>
    <t>GLOBAL_ATTRIBUTE14</t>
  </si>
  <si>
    <t>GLOBAL_ATTRIBUTE11</t>
  </si>
  <si>
    <t>GLOBAL_ATTRIBUTE12</t>
  </si>
  <si>
    <t>GLOBAL_ATTRIBUTE19</t>
  </si>
  <si>
    <t>UNDER_SHIPMENT_TOLERANCE</t>
  </si>
  <si>
    <t>ATTRIBUTE_CATEGORY</t>
  </si>
  <si>
    <t>PROGRAM_APPLICATION_ID</t>
  </si>
  <si>
    <t>LAST_UPDATE_LOGIN</t>
  </si>
  <si>
    <t>TAX_CODE</t>
  </si>
  <si>
    <t>PROGRAM_ID</t>
  </si>
  <si>
    <t>LAST_UPDATED_BY</t>
  </si>
  <si>
    <t>WH_UPDATE_DATE</t>
  </si>
  <si>
    <t>SECONDARY_SPECIALIST_ID</t>
  </si>
  <si>
    <t>CREATED_BY</t>
  </si>
  <si>
    <t>REQUEST_ID</t>
  </si>
  <si>
    <t>_FIVETRAN_DELETED</t>
  </si>
  <si>
    <t>BOOLEAN</t>
  </si>
  <si>
    <t>_FIVETRAN_SYNCED</t>
  </si>
  <si>
    <t>TIMESTAMP_TZ</t>
  </si>
  <si>
    <t>PROGRAM_UPDATE_DATE</t>
  </si>
  <si>
    <t>CREATION_DATE</t>
  </si>
  <si>
    <t>LAST_UPDATE_DATE</t>
  </si>
  <si>
    <t>STAGING</t>
  </si>
  <si>
    <t>UNION ALL</t>
  </si>
  <si>
    <t>c</t>
  </si>
  <si>
    <t>Relationship</t>
  </si>
  <si>
    <t>ITEM_HK</t>
  </si>
  <si>
    <t>HASHDIFF</t>
  </si>
  <si>
    <t>Y</t>
  </si>
  <si>
    <t>STG_CUSTOMER__EMTK_EBS_SALES</t>
  </si>
  <si>
    <t>STG_CUSTOMER__ML_EBS</t>
  </si>
  <si>
    <t>STG_CUSTOMER__TT_E21</t>
  </si>
  <si>
    <t>emtk_ebs_ar</t>
  </si>
  <si>
    <t>hz_cust_accounts</t>
  </si>
  <si>
    <t>_fivetran_deleted = false</t>
  </si>
  <si>
    <t>ca</t>
  </si>
  <si>
    <t>CUST_ACCOUNT_ID</t>
  </si>
  <si>
    <t>PARTY_ID</t>
  </si>
  <si>
    <t>ACCOUNT_NUMBER</t>
  </si>
  <si>
    <t>ORIG_SYSTEM_REFERENCE</t>
  </si>
  <si>
    <t>STATUS</t>
  </si>
  <si>
    <t>CUSTOMER_TYPE</t>
  </si>
  <si>
    <t>CUSTOMER_CLASS_CODE</t>
  </si>
  <si>
    <t>PRIMARY_SALESREP_ID</t>
  </si>
  <si>
    <t>SALES_CHANNEL_CODE</t>
  </si>
  <si>
    <t>ORDER_TYPE_ID</t>
  </si>
  <si>
    <t>PRICE_LIST_ID</t>
  </si>
  <si>
    <t>SUBCATEGORY_CODE</t>
  </si>
  <si>
    <t>FOB_POINT</t>
  </si>
  <si>
    <t>FREIGHT_TERM</t>
  </si>
  <si>
    <t>SHIP_PARTIAL</t>
  </si>
  <si>
    <t>SHIP_VIA</t>
  </si>
  <si>
    <t>WAREHOUSE_ID</t>
  </si>
  <si>
    <t>PAYMENT_TERM_ID</t>
  </si>
  <si>
    <t>TAX_HEADER_LEVEL_FLAG</t>
  </si>
  <si>
    <t>TAX_ROUNDING_RULE</t>
  </si>
  <si>
    <t>COTERMINATE_DAY_MONTH</t>
  </si>
  <si>
    <t>ACCOUNT_LIABLE_FLAG</t>
  </si>
  <si>
    <t>RESTRICTION_LIMIT_AMOUNT</t>
  </si>
  <si>
    <t>CURRENT_BALANCE</t>
  </si>
  <si>
    <t>PASSWORD_TEXT</t>
  </si>
  <si>
    <t>HIGH_PRIORITY_INDICATOR</t>
  </si>
  <si>
    <t>ACCOUNT_ESTABLISHED_DATE</t>
  </si>
  <si>
    <t>ACCOUNT_TERMINATION_DATE</t>
  </si>
  <si>
    <t>ACCOUNT_ACTIVATION_DATE</t>
  </si>
  <si>
    <t>CREDIT_CLASSIFICATION_CODE</t>
  </si>
  <si>
    <t>DEPARTMENT</t>
  </si>
  <si>
    <t>MAJOR_ACCOUNT_NUMBER</t>
  </si>
  <si>
    <t>HOTWATCH_SERVICE_FLAG</t>
  </si>
  <si>
    <t>HOTWATCH_SVC_BAL_IND</t>
  </si>
  <si>
    <t>HELD_BILL_EXPIRATION_DATE</t>
  </si>
  <si>
    <t>HOLD_BILL_FLAG</t>
  </si>
  <si>
    <t>HIGH_PRIORITY_REMARKS</t>
  </si>
  <si>
    <t>PO_EFFECTIVE_DATE</t>
  </si>
  <si>
    <t>PO_EXPIRATION_DATE</t>
  </si>
  <si>
    <t>REALTIME_RATE_FLAG</t>
  </si>
  <si>
    <t>SINGLE_USER_FLAG</t>
  </si>
  <si>
    <t>WATCH_ACCOUNT_FLAG</t>
  </si>
  <si>
    <t>WATCH_BALANCE_INDICATOR</t>
  </si>
  <si>
    <t>GEO_CODE</t>
  </si>
  <si>
    <t>ACCT_LIFE_CYCLE_STATUS</t>
  </si>
  <si>
    <t>ACCOUNT_NAME</t>
  </si>
  <si>
    <t>DEPOSIT_REFUND_METHOD</t>
  </si>
  <si>
    <t>DORMANT_ACCOUNT_FLAG</t>
  </si>
  <si>
    <t>NPA_NUMBER</t>
  </si>
  <si>
    <t>PIN_NUMBER</t>
  </si>
  <si>
    <t>SUSPENSION_DATE</t>
  </si>
  <si>
    <t>WRITE_OFF_ADJUSTMENT_AMOUNT</t>
  </si>
  <si>
    <t>WRITE_OFF_PAYMENT_AMOUNT</t>
  </si>
  <si>
    <t>WRITE_OFF_AMOUNT</t>
  </si>
  <si>
    <t>SOURCE_CODE</t>
  </si>
  <si>
    <t>COMPETITOR_TYPE</t>
  </si>
  <si>
    <t>COMMENTS</t>
  </si>
  <si>
    <t>DATES_NEGATIVE_TOLERANCE</t>
  </si>
  <si>
    <t>DATES_POSITIVE_TOLERANCE</t>
  </si>
  <si>
    <t>DATE_TYPE_PREFERENCE</t>
  </si>
  <si>
    <t>ITEM_CROSS_REF_PREF</t>
  </si>
  <si>
    <t>SHIP_SETS_INCLUDE_LINES_FLAG</t>
  </si>
  <si>
    <t>ARRIVALSETS_INCLUDE_LINES_FLAG</t>
  </si>
  <si>
    <t>SCHED_DATE_PUSH_FLAG</t>
  </si>
  <si>
    <t>INVOICE_QUANTITY_RULE</t>
  </si>
  <si>
    <t>PRICING_EVENT</t>
  </si>
  <si>
    <t>ACCOUNT_REPLICATION_KEY</t>
  </si>
  <si>
    <t>STATUS_UPDATE_DATE</t>
  </si>
  <si>
    <t>AUTOPAY_FLAG</t>
  </si>
  <si>
    <t>NOTIFY_FLAG</t>
  </si>
  <si>
    <t>LAST_BATCH_ID</t>
  </si>
  <si>
    <t>ORG_ID</t>
  </si>
  <si>
    <t>CREATED_BY_MODULE</t>
  </si>
  <si>
    <t>APPLICATION_ID</t>
  </si>
  <si>
    <t>SELLING_PARTY_ID</t>
  </si>
  <si>
    <t>FEDERAL_ENTITY_TYPE</t>
  </si>
  <si>
    <t>TRADING_PARTNER_AGENCY_ID</t>
  </si>
  <si>
    <t>DUNS_EXTENSION</t>
  </si>
  <si>
    <t>ADVANCE_PAYMENT_INDICATOR</t>
  </si>
  <si>
    <t>CANCEL_UNSHIPPED_LINES_FLAG</t>
  </si>
  <si>
    <t>NUMBER(38,0)</t>
  </si>
  <si>
    <t>SCD</t>
  </si>
  <si>
    <t>Comments</t>
  </si>
  <si>
    <t>The business key has been built using ACCOUNT_NUMBER field from hz_cust_accounts.</t>
  </si>
  <si>
    <t>Model Diagram</t>
  </si>
  <si>
    <t>INDEX</t>
  </si>
  <si>
    <t>Notes</t>
  </si>
  <si>
    <t>Sample SQL (optional)</t>
  </si>
  <si>
    <t>HUB CUSTOMER Tables</t>
  </si>
  <si>
    <t>HUB CUSTOMER Columns</t>
  </si>
  <si>
    <t>'EMTEK_EBS'</t>
  </si>
  <si>
    <t>'EMTEK'</t>
  </si>
  <si>
    <t>BRAND</t>
  </si>
  <si>
    <t>CUSTOMER_BK</t>
  </si>
  <si>
    <t>CUSTOMER_HK</t>
  </si>
  <si>
    <t>EMTK</t>
  </si>
  <si>
    <t>ML</t>
  </si>
  <si>
    <t>TT</t>
  </si>
  <si>
    <t>UNION</t>
  </si>
  <si>
    <t>hz_parties</t>
  </si>
  <si>
    <t>p</t>
  </si>
  <si>
    <t>GROUP_TYPE</t>
  </si>
  <si>
    <t>GSA_INDICATOR_FLAG</t>
  </si>
  <si>
    <t>HQ_BRANCH_IND</t>
  </si>
  <si>
    <t>EMAIL_ADDRESS</t>
  </si>
  <si>
    <t>KNOWN_AS</t>
  </si>
  <si>
    <t>PERSON_PREVIOUS_LAST_NAME</t>
  </si>
  <si>
    <t>PERSON_FIRST_NAME</t>
  </si>
  <si>
    <t>PRIMARY_PHONE_COUNTRY_CODE</t>
  </si>
  <si>
    <t>CATEGORY_CODE</t>
  </si>
  <si>
    <t>ORG_CUST_BO_VERSION</t>
  </si>
  <si>
    <t>YEAR_ESTABLISHED</t>
  </si>
  <si>
    <t>THIRD_PARTY_FLAG</t>
  </si>
  <si>
    <t>TOTAL_ORDERED_AMOUNT</t>
  </si>
  <si>
    <t>DUNS_NUMBER_C</t>
  </si>
  <si>
    <t>PERSON_LAST_NAME_PHONETIC</t>
  </si>
  <si>
    <t>COMPETITOR_FLAG</t>
  </si>
  <si>
    <t>REFERENCE_USE_FLAG</t>
  </si>
  <si>
    <t>CURR_FY_POTENTIAL_REVENUE</t>
  </si>
  <si>
    <t>URL</t>
  </si>
  <si>
    <t>PARTY_TYPE</t>
  </si>
  <si>
    <t>POSTAL_CODE</t>
  </si>
  <si>
    <t>PARTY_NAME</t>
  </si>
  <si>
    <t>PERSON_PRE_NAME_ADJUNCT</t>
  </si>
  <si>
    <t>PRIMARY_PHONE_AREA_CODE</t>
  </si>
  <si>
    <t>CERT_REASON_CODE</t>
  </si>
  <si>
    <t>PERSON_CUST_BO_VERSION</t>
  </si>
  <si>
    <t>TAX_NAME</t>
  </si>
  <si>
    <t>PREFERRED_CONTACT_METHOD</t>
  </si>
  <si>
    <t>ORGANIZATION_NAME_PHONETIC</t>
  </si>
  <si>
    <t>SIC_CODE</t>
  </si>
  <si>
    <t>TOTAL_NUM_OF_ORDERS</t>
  </si>
  <si>
    <t>CITY</t>
  </si>
  <si>
    <t>PRIMARY_PHONE_PURPOSE</t>
  </si>
  <si>
    <t>CERTIFICATION_LEVEL</t>
  </si>
  <si>
    <t>CUSTOMER_KEY</t>
  </si>
  <si>
    <t>NEXT_FY_POTENTIAL_REVENUE</t>
  </si>
  <si>
    <t>KNOWN_AS3</t>
  </si>
  <si>
    <t>KNOWN_AS2</t>
  </si>
  <si>
    <t>KNOWN_AS5</t>
  </si>
  <si>
    <t>EMPLOYEES_TOTAL</t>
  </si>
  <si>
    <t>KNOWN_AS4</t>
  </si>
  <si>
    <t>PERSON_TITLE</t>
  </si>
  <si>
    <t>PERSON_BO_VERSION</t>
  </si>
  <si>
    <t>ANALYSIS_FY</t>
  </si>
  <si>
    <t>HOME_COUNTRY</t>
  </si>
  <si>
    <t>COUNTRY</t>
  </si>
  <si>
    <t>MISSION_STATEMENT</t>
  </si>
  <si>
    <t>SALUTATION</t>
  </si>
  <si>
    <t>PRIMARY_PHONE_LINE_TYPE</t>
  </si>
  <si>
    <t>PERSON_NAME_SUFFIX</t>
  </si>
  <si>
    <t>TAX_REFERENCE</t>
  </si>
  <si>
    <t>COUNTY</t>
  </si>
  <si>
    <t>PERSON_IDENTIFIER</t>
  </si>
  <si>
    <t>FISCAL_YEAREND_MONTH</t>
  </si>
  <si>
    <t>PERSON_MIDDLE_NAME</t>
  </si>
  <si>
    <t>PERSON_FIRST_NAME_PHONETIC</t>
  </si>
  <si>
    <t>STATE</t>
  </si>
  <si>
    <t>ORG_BO_VERSION</t>
  </si>
  <si>
    <t>PARTY_NUMBER</t>
  </si>
  <si>
    <t>SIC_CODE_TYPE</t>
  </si>
  <si>
    <t>PRIMARY_PHONE_EXTENSION</t>
  </si>
  <si>
    <t>ADDRESS1</t>
  </si>
  <si>
    <t>PRIMARY_PHONE_NUMBER</t>
  </si>
  <si>
    <t>JGZZ_FISCAL_CODE</t>
  </si>
  <si>
    <t>ADDRESS3</t>
  </si>
  <si>
    <t>ADDRESS2</t>
  </si>
  <si>
    <t>ADDRESS4</t>
  </si>
  <si>
    <t>PERSON_ACADEMIC_TITLE</t>
  </si>
  <si>
    <t>VALIDATED_FLAG</t>
  </si>
  <si>
    <t>PRIMARY_PHONE_CONTACT_PT_ID</t>
  </si>
  <si>
    <t>PERSON_LAST_NAME</t>
  </si>
  <si>
    <t>LAST_ORDERED_DATE</t>
  </si>
  <si>
    <t>DO_NOT_MAIL_FLAG</t>
  </si>
  <si>
    <t>PERSON_IDEN_TYPE</t>
  </si>
  <si>
    <t>LANGUAGE_NAME</t>
  </si>
  <si>
    <t>PROVINCE</t>
  </si>
  <si>
    <t>DUNS_NUMBER</t>
  </si>
  <si>
    <t>'TMLC'</t>
  </si>
  <si>
    <t>'ML_EBS'</t>
  </si>
  <si>
    <t>HASH: CUSTOMER_BK, BRAND</t>
  </si>
  <si>
    <t>STG_SHIPMENT__MOEN_SAP</t>
  </si>
  <si>
    <t>MOEN</t>
  </si>
  <si>
    <t>STG_SHIPMENT_INPUTS__MOEN_SAP</t>
  </si>
  <si>
    <t>SHPMNT_INPT_MOEN</t>
  </si>
  <si>
    <t>STG CUSTOMER ML EBS Tables</t>
  </si>
  <si>
    <t>STG CUSTOMER ML EBS Columns</t>
  </si>
  <si>
    <t>STG CUSTOMER TT E21 Tables</t>
  </si>
  <si>
    <t>STG SHIPMENT MOEN SAP Tables</t>
  </si>
  <si>
    <t>STG SHIPMENT MOEN SAP Columns</t>
  </si>
  <si>
    <t>SAT CUSTOMER ML EBS Tables</t>
  </si>
  <si>
    <t>SAT CUSTOMER ML EBS Columns</t>
  </si>
  <si>
    <t>STG CUSTOMER TT E21 Columns</t>
  </si>
  <si>
    <t>corp_parent</t>
  </si>
  <si>
    <t>_fivetran_deleted = false
and not nullif(trim(cp_code), '') is null</t>
  </si>
  <si>
    <t>cp</t>
  </si>
  <si>
    <t>_fivetran_deleted = false and category_code = 'MLC-ACCOUNT'</t>
  </si>
  <si>
    <t>CP_CODE</t>
  </si>
  <si>
    <t>ADD_DATE</t>
  </si>
  <si>
    <t>UPDATE_DATE</t>
  </si>
  <si>
    <t>REQ_BY</t>
  </si>
  <si>
    <t>STATUS_IND</t>
  </si>
  <si>
    <t>UPDATE_USER</t>
  </si>
  <si>
    <t>CP_NAME</t>
  </si>
  <si>
    <t>ADD_USER</t>
  </si>
  <si>
    <t>STATUS_DATE</t>
  </si>
  <si>
    <t>'TT E21TRUBIS'</t>
  </si>
  <si>
    <t>'THTRU'</t>
  </si>
  <si>
    <t>sap_ecc_prd</t>
  </si>
  <si>
    <t>z_ce1new4</t>
  </si>
  <si>
    <t>sap_bw</t>
  </si>
  <si>
    <t>azcopa</t>
  </si>
  <si>
    <t>union</t>
  </si>
  <si>
    <t>KAUFN</t>
  </si>
  <si>
    <t>KDPOS</t>
  </si>
  <si>
    <t>KNDNR</t>
  </si>
  <si>
    <t>ARTNR</t>
  </si>
  <si>
    <t>VVQTY</t>
  </si>
  <si>
    <t>NUMBER(18,5)</t>
  </si>
  <si>
    <t>VVCRL</t>
  </si>
  <si>
    <t>NUMBER(25,4)</t>
  </si>
  <si>
    <t>VVGBP</t>
  </si>
  <si>
    <t>VVGRS</t>
  </si>
  <si>
    <t>VVCJP</t>
  </si>
  <si>
    <t>VVSIP</t>
  </si>
  <si>
    <t>VVFRM</t>
  </si>
  <si>
    <t>VVFRA</t>
  </si>
  <si>
    <t>VVMIN</t>
  </si>
  <si>
    <t>VVDIP</t>
  </si>
  <si>
    <t>VVOIP</t>
  </si>
  <si>
    <t>WWKNU</t>
  </si>
  <si>
    <t>WWSTP</t>
  </si>
  <si>
    <t>VVVLR</t>
  </si>
  <si>
    <t>VVCOP</t>
  </si>
  <si>
    <t>VVCST</t>
  </si>
  <si>
    <t>VVOTC</t>
  </si>
  <si>
    <t>VVNSA</t>
  </si>
  <si>
    <t>VVCMG</t>
  </si>
  <si>
    <t>VVQTY_ME</t>
  </si>
  <si>
    <t>WWPSR</t>
  </si>
  <si>
    <t>VKORG</t>
  </si>
  <si>
    <t>VTWEG</t>
  </si>
  <si>
    <t>SPART</t>
  </si>
  <si>
    <t>VKBUR</t>
  </si>
  <si>
    <t>BZIRK</t>
  </si>
  <si>
    <t>MANDT</t>
  </si>
  <si>
    <t>PALEDGER</t>
  </si>
  <si>
    <t>VRGAR</t>
  </si>
  <si>
    <t>VERSI</t>
  </si>
  <si>
    <t>PERIO</t>
  </si>
  <si>
    <t>PAOBJNR</t>
  </si>
  <si>
    <t>PASUBNR</t>
  </si>
  <si>
    <t>BELNR</t>
  </si>
  <si>
    <t>POSNR</t>
  </si>
  <si>
    <t>try_to_date(WADAT, 'YYYYMMDD')</t>
  </si>
  <si>
    <t>try_to_date(FADAT, 'YYYYMMDD')</t>
  </si>
  <si>
    <t>try_to_date(BUDAT, 'YYYYMMDD')</t>
  </si>
  <si>
    <t>'MOEN SAP'</t>
  </si>
  <si>
    <t>'MOEN'</t>
  </si>
  <si>
    <t>DOC_NUMBER</t>
  </si>
  <si>
    <t>LINE_NUMBER</t>
  </si>
  <si>
    <t>GI_DATE</t>
  </si>
  <si>
    <t>BILL_DATE</t>
  </si>
  <si>
    <t>INVOICE_DATE</t>
  </si>
  <si>
    <t>CUSTOMER_ID</t>
  </si>
  <si>
    <t>ITEM</t>
  </si>
  <si>
    <t>INVOICE_QTY</t>
  </si>
  <si>
    <t>LIST_PRICE</t>
  </si>
  <si>
    <t>GROSS_SALES_BEFORE_INCENTIVES</t>
  </si>
  <si>
    <t>GROSS_SALES_BEFORE_FREIGHT_AND_HANDLING</t>
  </si>
  <si>
    <t>CJA_ADJUSTMENT</t>
  </si>
  <si>
    <t>INDUSTRY_GROSS_SALES</t>
  </si>
  <si>
    <t>FREIGHT</t>
  </si>
  <si>
    <t>FREIGHT_ALLOWANCE</t>
  </si>
  <si>
    <t>HANDLING_CHARGE</t>
  </si>
  <si>
    <t>DISCOUNT</t>
  </si>
  <si>
    <t>ITM_OVERRIDE_IND_PRICE</t>
  </si>
  <si>
    <t>SALES_DEAL</t>
  </si>
  <si>
    <t>TYPE_OF_SALE</t>
  </si>
  <si>
    <t>VOLUME_REBATE</t>
  </si>
  <si>
    <t>FIXED_REBATE</t>
  </si>
  <si>
    <t>COGS</t>
  </si>
  <si>
    <t>CASH_DISCOUNT</t>
  </si>
  <si>
    <t>NET_SALES</t>
  </si>
  <si>
    <t>SALES_COMMISSION</t>
  </si>
  <si>
    <t>UOM</t>
  </si>
  <si>
    <t>SALES_REP</t>
  </si>
  <si>
    <t>SALES_ORG</t>
  </si>
  <si>
    <t>CHANNEL</t>
  </si>
  <si>
    <t>DIVISION</t>
  </si>
  <si>
    <t>REGION</t>
  </si>
  <si>
    <t>DISTRICT</t>
  </si>
  <si>
    <t>COPA_SALES_BK</t>
  </si>
  <si>
    <t>CUST_SALES_AREA_BK</t>
  </si>
  <si>
    <t>ITEM_CUST_SHIPMENT_BK</t>
  </si>
  <si>
    <t>COPA_SALES_HK</t>
  </si>
  <si>
    <t>CUST_SALES_AREA_HK</t>
  </si>
  <si>
    <t>ITEM_CUST_SHIPMENT_HK</t>
  </si>
  <si>
    <t>HASH: ITEM_BK, BRAND</t>
  </si>
  <si>
    <t>HASH: COPA_SALES_BK, BRAND</t>
  </si>
  <si>
    <t>HASH: CUST_SALES_AREA_BK, BRAND</t>
  </si>
  <si>
    <t>HASH: ITEM_CUST_SHIPMENT_BK, BRAND</t>
  </si>
  <si>
    <t>z_zdw_s600</t>
  </si>
  <si>
    <t>z</t>
  </si>
  <si>
    <t>SSOUR</t>
  </si>
  <si>
    <t>VRSIO</t>
  </si>
  <si>
    <t>SPMON</t>
  </si>
  <si>
    <t>SPTAG</t>
  </si>
  <si>
    <t>SPWOC</t>
  </si>
  <si>
    <t>SPBUP</t>
  </si>
  <si>
    <t>KUNNR</t>
  </si>
  <si>
    <t>MATNR</t>
  </si>
  <si>
    <t>WERKS</t>
  </si>
  <si>
    <t>VBELN</t>
  </si>
  <si>
    <t>AUART</t>
  </si>
  <si>
    <t>STWAE_01</t>
  </si>
  <si>
    <t>ABGRU</t>
  </si>
  <si>
    <t>GLREQUEST</t>
  </si>
  <si>
    <t>NUMBER(30,0)</t>
  </si>
  <si>
    <t>PERIV</t>
  </si>
  <si>
    <t>VWDAT</t>
  </si>
  <si>
    <t>VRKME</t>
  </si>
  <si>
    <t>WAERK</t>
  </si>
  <si>
    <t>KWMENG</t>
  </si>
  <si>
    <t>NUMBER(15,3)</t>
  </si>
  <si>
    <t>NETWR</t>
  </si>
  <si>
    <t>NUMBER(23,4)</t>
  </si>
  <si>
    <t>ERZET</t>
  </si>
  <si>
    <t>ZOUT_QTY</t>
  </si>
  <si>
    <t>NUMBER(25,3)</t>
  </si>
  <si>
    <t>ZOUT_DOL</t>
  </si>
  <si>
    <t>ZSHIP_QTY</t>
  </si>
  <si>
    <t>LFREL</t>
  </si>
  <si>
    <t>PSTYV</t>
  </si>
  <si>
    <t>BSTNK</t>
  </si>
  <si>
    <t>ZZORC</t>
  </si>
  <si>
    <t>AUGRU</t>
  </si>
  <si>
    <t>WWRSN</t>
  </si>
  <si>
    <t>Z532_KWERT</t>
  </si>
  <si>
    <t>GLDELFLAG</t>
  </si>
  <si>
    <t>GLCHANGETIME</t>
  </si>
  <si>
    <t>NUMBER(23,9)</t>
  </si>
  <si>
    <t>GLSOURCESYSTEM</t>
  </si>
  <si>
    <t>try_to_date(ERDAT, 'YYYYMMDD')</t>
  </si>
  <si>
    <t>PLANT_ID</t>
  </si>
  <si>
    <t>ISSUE_DATE</t>
  </si>
  <si>
    <t>ORDER_DATE</t>
  </si>
  <si>
    <t>SALES_DOCUMENT_TYPE</t>
  </si>
  <si>
    <t>REJECTION_ID</t>
  </si>
  <si>
    <t>CURRENCY</t>
  </si>
  <si>
    <t>ORDERED_UNITS</t>
  </si>
  <si>
    <t>SALES_DOLLARS</t>
  </si>
  <si>
    <t>SALES_DOC_ITEM_CAT</t>
  </si>
  <si>
    <t>PO_NUMBER</t>
  </si>
  <si>
    <t>ORDER_CAT</t>
  </si>
  <si>
    <t>COMBINED_REASON_CODE</t>
  </si>
  <si>
    <t>SHIPMENT_INPUTS_BK</t>
  </si>
  <si>
    <t>ITEM_CUST_SHIPMENT_INPUTS_BK</t>
  </si>
  <si>
    <t>CONCAT_WS('||', 
        COALESCE(MANDT::TEXT, ''),
        COALESCE(PALEDGER::TEXT, ''),
        COALESCE(VRGAR::TEXT, ''),
        COALESCE(VERSI::TEXT, ''),
        COALESCE(PERIO::TEXT, ''),
        COALESCE(PAOBJNR::TEXT, ''),
        COALESCE(PASUBNR::TEXT, ''),
        COALESCE(BELNR::TEXT, ''),
        COALESCE(POSNR::TEXT, '')
    )</t>
  </si>
  <si>
    <t>CONCAT_WS('||',
        COALESCE(MANDT::TEXT, ''),
        COALESCE(SSOUR::TEXT, ''),
        COALESCE(VRSIO::TEXT, ''),
        COALESCE(SPMON::TEXT, ''),
        COALESCE(SPTAG::TEXT, ''),
        COALESCE(SPWOC::TEXT, ''),
        COALESCE(SPBUP::TEXT, ''),
        COALESCE(CUSTOMER_ID::TEXT, ''),
        COALESCE(ITEM::TEXT, ''),
        COALESCE(PLANT_ID::TEXT, ''),
        COALESCE(ISSUE_DATE::TEXT, ''),
        COALESCE(DOC_NUMBER::TEXT, ''),
        COALESCE(LINE_NUMBER::TEXT, ''),
        COALESCE(SALES_DOCUMENT_TYPE::TEXT, ''),
        COALESCE(STWAE_01::TEXT, ''),
        COALESCE(REJECTION_ID::TEXT, '')
    )</t>
  </si>
  <si>
    <t>CONCAT_WS('||',
        COALESCE(CUSTOMER_ID::TEXT, ''),
        COALESCE(SALES_ORG::TEXT, ''),
        COALESCE(CHANNEL::TEXT, ''),
        COALESCE(DIVISION::TEXT, '')
    )</t>
  </si>
  <si>
    <r>
      <t xml:space="preserve">CONCAT_WS('||',
      </t>
    </r>
    <r>
      <rPr>
        <b/>
        <sz val="11"/>
        <color rgb="FFFFFF00"/>
        <rFont val="Calibri (Body)"/>
      </rPr>
      <t xml:space="preserve">  COALESCE(ITEM::TEXT, ''),</t>
    </r>
    <r>
      <rPr>
        <sz val="11"/>
        <color theme="1"/>
        <rFont val="Calibri"/>
        <family val="2"/>
        <scheme val="minor"/>
      </rPr>
      <t xml:space="preserve">
        </t>
    </r>
    <r>
      <rPr>
        <b/>
        <sz val="11"/>
        <color rgb="FFFF0000"/>
        <rFont val="Calibri (Body)"/>
      </rPr>
      <t>COALESCE(CUSTOMER_ID::TEXT, ''),</t>
    </r>
    <r>
      <rPr>
        <sz val="11"/>
        <color theme="1"/>
        <rFont val="Calibri"/>
        <family val="2"/>
        <scheme val="minor"/>
      </rPr>
      <t xml:space="preserve">
        COALESCE(MANDT::TEXT, ''),
        COALESCE(SSOUR::TEXT, ''),
        COALESCE(VRSIO::TEXT, ''),
        COALESCE(SPMON::TEXT, ''),
        COALESCE(SPTAG::TEXT, ''),
        COALESCE(SPWOC::TEXT, ''),
        COALESCE(SPBUP::TEXT, ''),
        </t>
    </r>
    <r>
      <rPr>
        <b/>
        <sz val="11"/>
        <color rgb="FFFF0000"/>
        <rFont val="Calibri (Body)"/>
      </rPr>
      <t>COALESCE(CUSTOMER_ID::TEXT, ''),</t>
    </r>
    <r>
      <rPr>
        <sz val="11"/>
        <color theme="1"/>
        <rFont val="Calibri"/>
        <family val="2"/>
        <scheme val="minor"/>
      </rPr>
      <t xml:space="preserve">
        </t>
    </r>
    <r>
      <rPr>
        <b/>
        <sz val="11"/>
        <color rgb="FFFFFF00"/>
        <rFont val="Calibri (Body)"/>
      </rPr>
      <t>COALESCE(ITEM::TEXT, ''),</t>
    </r>
    <r>
      <rPr>
        <sz val="11"/>
        <color theme="1"/>
        <rFont val="Calibri"/>
        <family val="2"/>
        <scheme val="minor"/>
      </rPr>
      <t xml:space="preserve">
        COALESCE(PLANT_ID::TEXT, ''),
        COALESCE(ISSUE_DATE::TEXT, ''),
        COALESCE(DOC_NUMBER::TEXT, ''),
        COALESCE(LINE_NUMBER::TEXT, ''),
        COALESCE(SALES_DOCUMENT_TYPE::TEXT, ''),
        COALESCE(STWAE_01::TEXT, ''),
        COALESCE(REJECTION_ID::TEXT, ''),
        </t>
    </r>
    <r>
      <rPr>
        <b/>
        <sz val="11"/>
        <color rgb="FFFF0000"/>
        <rFont val="Calibri (Body)"/>
      </rPr>
      <t>COALESCE(CUSTOMER_ID::TEXT, ''),</t>
    </r>
    <r>
      <rPr>
        <sz val="11"/>
        <color theme="1"/>
        <rFont val="Calibri"/>
        <family val="2"/>
        <scheme val="minor"/>
      </rPr>
      <t xml:space="preserve">
        COALESCE(SALES_ORG::TEXT, ''),
        COALESCE(CHANNEL::TEXT, ''),
        COALESCE(DIVISION::TEXT, '')
    </t>
    </r>
  </si>
  <si>
    <t>HASH: SHIPMENT_INPUTS_BK, BRAND</t>
  </si>
  <si>
    <t>SHIPMENT_INPUTS_HK</t>
  </si>
  <si>
    <t>HASH: ITEM_CUST_SHIPMENT_INPUTS_BK, BRAND</t>
  </si>
  <si>
    <t>ITEM_CUST_SHIPMENT_INPUTS_HK</t>
  </si>
  <si>
    <t>PLANT_ID_HK</t>
  </si>
  <si>
    <t>REJECTION_ID_HK</t>
  </si>
  <si>
    <t>SALES_DOC_TYPE_CODE_HK</t>
  </si>
  <si>
    <t>SALE_TYPE_CODE_HK</t>
  </si>
  <si>
    <t>COMBINED_REASON_CODE_HK</t>
  </si>
  <si>
    <t>HASH: PLANT_ID</t>
  </si>
  <si>
    <t>HASH: REJECTION_ID</t>
  </si>
  <si>
    <t>HASH: SALES_DOCUMENT_TYPE</t>
  </si>
  <si>
    <t>HASH: TYPE_OF_SALE</t>
  </si>
  <si>
    <t>HASH: COMBINED_REASON_CODE</t>
  </si>
  <si>
    <t>CUSTOMER_HDIFF</t>
  </si>
  <si>
    <t>Unique: CUSTOMER_HK, LOAD_DTS</t>
  </si>
  <si>
    <t>bronze_tt_e21</t>
  </si>
  <si>
    <t>bronze_tt_e22</t>
  </si>
  <si>
    <t>bronze_tt_e23</t>
  </si>
  <si>
    <t>bronze_tt_e24</t>
  </si>
  <si>
    <t>bronze_tt_e25</t>
  </si>
  <si>
    <t>bronze_tt_e26</t>
  </si>
  <si>
    <t>bronze_tt_e27</t>
  </si>
  <si>
    <t>bronze_tt_e28</t>
  </si>
  <si>
    <t>bronze_tt_e29</t>
  </si>
  <si>
    <t>bronze_tt_e30</t>
  </si>
  <si>
    <t>bronze_tt_e31</t>
  </si>
  <si>
    <t>bronze_tt_e32</t>
  </si>
  <si>
    <t>bronze_tt_e36</t>
  </si>
  <si>
    <t>bronze_tt_e37</t>
  </si>
  <si>
    <t>bronze_tt_e38</t>
  </si>
  <si>
    <t>bronze_tt_e39</t>
  </si>
  <si>
    <t>bronze_ml_ebs_ar</t>
  </si>
  <si>
    <t>PARTY_ID::TEXT</t>
  </si>
  <si>
    <t>CP_CODE::TEXT</t>
  </si>
  <si>
    <t>HUB_CUSTOMER.CUSTOMER_HK</t>
  </si>
  <si>
    <t>CUSTOMER_HASHDIFF</t>
  </si>
  <si>
    <t>example</t>
  </si>
  <si>
    <t>STG Incremental Strategy</t>
  </si>
  <si>
    <t>DBT_SCD_ID</t>
  </si>
  <si>
    <t>DBT_UPDATED_AT</t>
  </si>
  <si>
    <t>DBT_VALID_FROM</t>
  </si>
  <si>
    <t>DBT_VALID_TO</t>
  </si>
  <si>
    <t>DBT SNAPSHOT Configured meta field: Indicates the time range when a record version was valid</t>
  </si>
  <si>
    <t xml:space="preserve">DBT SNAPSHOT Configured meta field: Indicates the time range when a record version was valid </t>
  </si>
  <si>
    <t>DBT SNAPSHOT Configured meta field: A unique key generated for each snapshotted record.</t>
  </si>
  <si>
    <t>DBT SNAPSHOT Configured meta field: The updated_at timestamp of the source record when this snapshot row was inserted.</t>
  </si>
  <si>
    <t>Unique: CUSTOMER_BK, DBT_VALID_FROM</t>
  </si>
  <si>
    <t>bronze_tt_e40</t>
  </si>
  <si>
    <t>bronze_tt_e41</t>
  </si>
  <si>
    <t>bronze_tt_e42</t>
  </si>
  <si>
    <r>
      <t xml:space="preserve">Config: </t>
    </r>
    <r>
      <rPr>
        <i/>
        <sz val="11"/>
        <color rgb="FFFF0000"/>
        <rFont val="Calibri (Body)"/>
      </rPr>
      <t>materialized= 'snapshot'</t>
    </r>
    <r>
      <rPr>
        <sz val="11"/>
        <color theme="1"/>
        <rFont val="Calibri"/>
        <family val="2"/>
        <scheme val="minor"/>
      </rPr>
      <t>,
      unique_key='ACCOUNT_NUMBER',
      strategy='timestamp',
      updated_at='_FIVETRAN_SYNCED'</t>
    </r>
  </si>
  <si>
    <r>
      <t xml:space="preserve">INVOICE_DATE &gt;= </t>
    </r>
    <r>
      <rPr>
        <sz val="12"/>
        <color rgb="FFE3116C"/>
        <rFont val="Menlo"/>
        <family val="2"/>
      </rPr>
      <t>'2024-01-01'</t>
    </r>
  </si>
  <si>
    <r>
      <t xml:space="preserve">INVOICE_DATE &lt; </t>
    </r>
    <r>
      <rPr>
        <sz val="12"/>
        <color rgb="FFE3116C"/>
        <rFont val="Menlo"/>
        <family val="2"/>
      </rPr>
      <t>'2024-01-01'</t>
    </r>
  </si>
  <si>
    <t>Unique: CUSTOMER_BK, COPA_SALES_BK, CUST_SALES_AREA_BK, ITEM_CUST_SHIPMENT_BK, ITEM_BK, DBT_VALID_FROM</t>
  </si>
  <si>
    <t>CONCAT_WS('||', 
        COALESCE(CUSTOMER_ID::TEXT, ''),
        COALESCE(SALES_ORG::TEXT, ''),
        COALESCE(CHANNEL::TEXT, ''),
        COALESCE(DIVISION::TEXT, '')
    )</t>
  </si>
  <si>
    <t>CONCAT_WS('||', 
        COALESCE(ITEM::TEXT, ''),
        COALESCE(CUSTOMER_ID::TEXT, ''),
        COALESCE(MANDT::TEXT, ''),
        COALESCE(PALEDGER::TEXT, ''),
        COALESCE(VRGAR::TEXT, ''),
        COALESCE(VERSI::TEXT, ''),
        COALESCE(PERIO::TEXT, ''),
        COALESCE(PAOBJNR::TEXT, ''),
        COALESCE(PASUBNR::TEXT, ''),
        COALESCE(BELNR::TEXT, ''),
        COALESCE(POSNR::TEXT, ''),        COALESCE(SALES_ORG::TEXT, ''),
        COALESCE(CHANNEL::TEXT, ''),
        COALESCE(DIVISION::TEXT, '')
    )</t>
  </si>
  <si>
    <r>
      <t xml:space="preserve">{% snapshot PSA_STG_CUSTOMER__EMTK_EBS_SALES %}
{{
    config(
      </t>
    </r>
    <r>
      <rPr>
        <u/>
        <sz val="11"/>
        <color rgb="FFFF0000"/>
        <rFont val="Calibri (Body)"/>
      </rPr>
      <t>materialized= 'snapshot',</t>
    </r>
    <r>
      <rPr>
        <sz val="11"/>
        <color theme="1"/>
        <rFont val="Calibri"/>
        <family val="2"/>
        <scheme val="minor"/>
      </rPr>
      <t xml:space="preserve">
      unique_key='ACCOUNT_NUMBER',
      strategy='timestamp',
      updated_at='_FIVETRAN_SYNCED' )
 }}</t>
    </r>
  </si>
  <si>
    <t>Unique: ITEM_BK, CUSTOMER_BK, SHIPMENT_INPUTS_BK, CUST_SALES_AREA_BK, ITEM_CUST_SHIPMENT_INPUTS_BK, DBT_VALID_FROM</t>
  </si>
  <si>
    <t>End of code snapshot Block: {% endsnapshot %}</t>
  </si>
  <si>
    <t>{% if is_incremental() %}
WHERE DBT_VALID_TO IS NULL
    AND (
        LOAD_DTS &gt; (SELECT MAX(LOAD_DTS) FROM {{ this }})
        OR (CUSTOMER_HK, LOAD_DTS) NOT IN (SELECT CUSTOMER_HK, LOAD_DTS FROM {{ this }})
    )
{% endif %}</t>
  </si>
  <si>
    <t>Config: unique_key='PARTY_ID',
      strategy='timestamp',
      updated_at='_FIVETRAN_SYNCED'</t>
  </si>
  <si>
    <t>{% snapshot PSA_STG_CUSTOMER__ML_EBS %}
{{
    config(
      unique_key='PARTY_ID',
      strategy='timestamp',
      updated_at='_FIVETRAN_SYNCED' )
 }}</t>
  </si>
  <si>
    <t>Config: unique_key='CP_CODE',
      strategy='timestamp',
      updated_at='_FIVETRAN_SYNCED'</t>
  </si>
  <si>
    <t>{% snapshot PSA_STG_CUSTOMER__TT_E21 %}
{{
    config(
      unique_key='CP_CODE',
      strategy='timestamp',
      updated_at='_FIVETRAN_SYNCED'
 )
 }}</t>
  </si>
  <si>
    <t>Key</t>
  </si>
  <si>
    <t>timestamp</t>
  </si>
  <si>
    <r>
      <t xml:space="preserve">{% snapshot PSA_STG_SHIPMENT__MOEN_SAP %}
{{
    config(
      unique_key=['CUSTOMER_BK', 'COPA_SALES_BK', 'CUST_SALES_AREA_BK', 'ITEM_CUST_SHIPMENT_BK', 'ITEM_BK'] ,
      </t>
    </r>
    <r>
      <rPr>
        <b/>
        <sz val="11"/>
        <color theme="4"/>
        <rFont val="Calibri (Body)"/>
      </rPr>
      <t>strategy='check',
      check_cols='all'</t>
    </r>
    <r>
      <rPr>
        <sz val="11"/>
        <color theme="1"/>
        <rFont val="Calibri"/>
        <family val="2"/>
        <scheme val="minor"/>
      </rPr>
      <t xml:space="preserve">
 )
 }}</t>
    </r>
  </si>
  <si>
    <r>
      <t xml:space="preserve">Config: unique_key=['CUSTOMER_BK', 'COPA_SALES_BK', 'CUST_SALES_AREA_BK', 'ITEM_CUST_SHIPMENT_BK', 'ITEM_BK'],   </t>
    </r>
    <r>
      <rPr>
        <b/>
        <sz val="11"/>
        <color theme="4"/>
        <rFont val="Calibri (Body)"/>
      </rPr>
      <t xml:space="preserve">   strategy='check',
      check_cols='all'</t>
    </r>
  </si>
  <si>
    <r>
      <t xml:space="preserve">{% snapshot PSA_STG_SHIPMENT__MOEN_SAP %}
{{
    config(
      unique_key=['ITEM_BK', 'CUSTOMER_BK', 'SHIPMENT_INPUTS_BK', 'CUST_SALES_AREA_BK', 'ITEM_CUST_SHIPMENT_INPUTS_BK'] ,
      </t>
    </r>
    <r>
      <rPr>
        <b/>
        <sz val="11"/>
        <color theme="4"/>
        <rFont val="Calibri (Body)"/>
      </rPr>
      <t>strategy='check',
      check_cols='all'</t>
    </r>
    <r>
      <rPr>
        <sz val="11"/>
        <color theme="1"/>
        <rFont val="Calibri"/>
        <family val="2"/>
        <scheme val="minor"/>
      </rPr>
      <t xml:space="preserve">
 )
 }}</t>
    </r>
  </si>
  <si>
    <t>check: all</t>
  </si>
  <si>
    <r>
      <t xml:space="preserve">DBT_VALID_TO </t>
    </r>
    <r>
      <rPr>
        <sz val="12"/>
        <color rgb="FF69788C"/>
        <rFont val="Menlo"/>
        <family val="2"/>
      </rPr>
      <t>IS</t>
    </r>
    <r>
      <rPr>
        <sz val="12"/>
        <color rgb="FF000000"/>
        <rFont val="Menlo"/>
        <family val="2"/>
      </rPr>
      <t xml:space="preserve"> </t>
    </r>
    <r>
      <rPr>
        <sz val="12"/>
        <color rgb="FF69788C"/>
        <rFont val="Menlo"/>
        <family val="2"/>
      </rPr>
      <t>NULL</t>
    </r>
  </si>
  <si>
    <t>Final Layer Filter</t>
  </si>
  <si>
    <t>{% if is_incremental() %}
WHERE {{ hub_key_column }} NOT IN (SELECT {{ hub_key_column }} FROM {{ this }})
 {% endif %}</t>
  </si>
  <si>
    <t>DBT_VALID_TO IS NULL</t>
  </si>
  <si>
    <t>{% if is_incremental() %}
WHERE (
        LOAD_DTS &gt; (SELECT MAX(LOAD_DTS) FROM {{ this }})
        OR (CUSTOMER_HK, LOAD_DTS) NOT IN (SELECT CUSTOMER_HK, LOAD_DTS FROM {{ this }})
    )
{% endif %}</t>
  </si>
  <si>
    <t>STG CUST EMTK EBS SALES Tables</t>
  </si>
  <si>
    <t>STG CUST EMTK EBS SALES Columns</t>
  </si>
  <si>
    <t>STG SHP INPTS MOEN SAP Tables</t>
  </si>
  <si>
    <t>STG SHP INPTS MOEN SAP Columns</t>
  </si>
  <si>
    <t>SAT CUS DTL EMT EBS Tables</t>
  </si>
  <si>
    <t>SAT CUS DTL EMT EBS Columns</t>
  </si>
  <si>
    <t>PK</t>
  </si>
  <si>
    <t>PK: CUSTOMER_BK, DBT_VALID_FROM</t>
  </si>
  <si>
    <t>PK: CUSTOMER_BK, COPA_SALES_BK, CUST_SALES_AREA_BK, ITEM_CUST_SHIPMENT_BK, ITEM_BK, DBT_VALID_FROM</t>
  </si>
  <si>
    <t>PK: ITEM_BK, CUSTOMER_BK, SHIPMENT_INPUTS_BK, CUST_SALES_AREA_BK, ITEM_CUST_SHIPMENT_INPUTS_BK, DBT_VALID_FROM</t>
  </si>
  <si>
    <t>PK:CUSTOMER_HK</t>
  </si>
  <si>
    <t>PK: CUSTOMER_HK, LOAD_DTS</t>
  </si>
  <si>
    <t>EXAMPLE: Incremental Strategy</t>
  </si>
  <si>
    <t>Example: SAT Incremental Strategy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</si>
</sst>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onsolas"/>
      <family val="2"/>
      <charset val="1"/>
    </font>
    <font>
      <u/>
      <sz val="11"/>
      <color theme="10"/>
      <name val="Calibri"/>
      <family val="2"/>
      <scheme val="minor"/>
    </font>
    <font>
      <sz val="12"/>
      <color rgb="FFE3116C"/>
      <name val="Menlo"/>
      <family val="2"/>
    </font>
    <font>
      <sz val="12"/>
      <color rgb="FF393A34"/>
      <name val="Menlo"/>
      <family val="2"/>
    </font>
    <font>
      <sz val="11"/>
      <color rgb="FF00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 (Body)"/>
    </font>
    <font>
      <b/>
      <sz val="11"/>
      <color rgb="FFFFFF00"/>
      <name val="Calibri (Body)"/>
    </font>
    <font>
      <sz val="12"/>
      <color rgb="FFA31515"/>
      <name val="Menlo"/>
      <family val="2"/>
    </font>
    <font>
      <sz val="11"/>
      <color rgb="FFFF0000"/>
      <name val="Calibri"/>
      <family val="2"/>
      <scheme val="minor"/>
    </font>
    <font>
      <i/>
      <sz val="11"/>
      <color rgb="FFFF0000"/>
      <name val="Calibri (Body)"/>
    </font>
    <font>
      <u/>
      <sz val="11"/>
      <color rgb="FFFF0000"/>
      <name val="Calibri (Body)"/>
    </font>
    <font>
      <b/>
      <sz val="11"/>
      <color theme="4"/>
      <name val="Calibri (Body)"/>
    </font>
    <font>
      <sz val="12"/>
      <color rgb="FF000000"/>
      <name val="Menlo"/>
      <family val="2"/>
    </font>
    <font>
      <sz val="12"/>
      <color rgb="FF69788C"/>
      <name val="Menlo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0" fillId="0" borderId="1" xfId="0" applyBorder="1" applyAlignment="1">
      <alignment wrapText="1"/>
    </xf>
    <xf numFmtId="0" fontId="0" fillId="3" borderId="1" xfId="0" quotePrefix="1" applyFill="1" applyBorder="1" applyAlignment="1">
      <alignment horizontal="left" vertical="top"/>
    </xf>
    <xf numFmtId="0" fontId="4" fillId="0" borderId="0" xfId="0" applyFont="1" applyAlignment="1">
      <alignment horizontal="left" wrapText="1"/>
    </xf>
    <xf numFmtId="3" fontId="4" fillId="0" borderId="0" xfId="0" applyNumberFormat="1" applyFont="1" applyAlignment="1">
      <alignment horizontal="left" wrapText="1"/>
    </xf>
    <xf numFmtId="0" fontId="3" fillId="0" borderId="0" xfId="0" applyFont="1" applyAlignment="1">
      <alignment horizontal="left" wrapText="1"/>
    </xf>
    <xf numFmtId="3" fontId="4" fillId="0" borderId="0" xfId="0" applyNumberFormat="1" applyFont="1" applyAlignment="1">
      <alignment horizontal="right"/>
    </xf>
    <xf numFmtId="0" fontId="1" fillId="2" borderId="2" xfId="0" applyFont="1" applyFill="1" applyBorder="1" applyAlignment="1">
      <alignment wrapText="1"/>
    </xf>
    <xf numFmtId="3" fontId="4" fillId="0" borderId="0" xfId="0" applyNumberFormat="1" applyFont="1" applyAlignment="1">
      <alignment horizontal="right" wrapText="1"/>
    </xf>
    <xf numFmtId="3" fontId="4" fillId="0" borderId="0" xfId="0" quotePrefix="1" applyNumberFormat="1" applyFont="1" applyAlignment="1">
      <alignment horizontal="left" wrapText="1"/>
    </xf>
    <xf numFmtId="0" fontId="0" fillId="0" borderId="0" xfId="0" applyAlignment="1">
      <alignment horizontal="left" wrapText="1"/>
    </xf>
    <xf numFmtId="3" fontId="4" fillId="0" borderId="0" xfId="0" applyNumberFormat="1" applyFont="1" applyAlignment="1">
      <alignment horizontal="left"/>
    </xf>
    <xf numFmtId="0" fontId="5" fillId="0" borderId="0" xfId="0" applyFont="1" applyAlignment="1">
      <alignment readingOrder="1"/>
    </xf>
    <xf numFmtId="0" fontId="0" fillId="0" borderId="0" xfId="0" quotePrefix="1"/>
    <xf numFmtId="0" fontId="3" fillId="4" borderId="3" xfId="0" applyFont="1" applyFill="1" applyBorder="1" applyAlignment="1">
      <alignment horizontal="left" wrapText="1"/>
    </xf>
    <xf numFmtId="0" fontId="4" fillId="4" borderId="3" xfId="0" applyFont="1" applyFill="1" applyBorder="1" applyAlignment="1">
      <alignment horizontal="left" wrapText="1"/>
    </xf>
    <xf numFmtId="3" fontId="4" fillId="4" borderId="3" xfId="0" applyNumberFormat="1" applyFont="1" applyFill="1" applyBorder="1" applyAlignment="1">
      <alignment horizontal="right"/>
    </xf>
    <xf numFmtId="0" fontId="3" fillId="0" borderId="3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  <xf numFmtId="3" fontId="4" fillId="0" borderId="3" xfId="0" applyNumberFormat="1" applyFont="1" applyBorder="1" applyAlignment="1">
      <alignment horizontal="right"/>
    </xf>
    <xf numFmtId="0" fontId="0" fillId="0" borderId="0" xfId="0" applyAlignment="1">
      <alignment vertical="center" wrapText="1"/>
    </xf>
    <xf numFmtId="0" fontId="6" fillId="0" borderId="0" xfId="1"/>
    <xf numFmtId="0" fontId="3" fillId="0" borderId="7" xfId="0" applyFont="1" applyBorder="1" applyAlignment="1">
      <alignment horizontal="left" wrapText="1"/>
    </xf>
    <xf numFmtId="0" fontId="8" fillId="0" borderId="0" xfId="0" applyFont="1"/>
    <xf numFmtId="0" fontId="9" fillId="0" borderId="0" xfId="0" applyFont="1"/>
    <xf numFmtId="0" fontId="9" fillId="3" borderId="1" xfId="0" applyFont="1" applyFill="1" applyBorder="1"/>
    <xf numFmtId="0" fontId="9" fillId="0" borderId="1" xfId="0" applyFont="1" applyBorder="1"/>
    <xf numFmtId="0" fontId="0" fillId="3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3" borderId="0" xfId="0" applyFill="1"/>
    <xf numFmtId="0" fontId="10" fillId="5" borderId="0" xfId="0" applyFont="1" applyFill="1"/>
    <xf numFmtId="0" fontId="10" fillId="5" borderId="0" xfId="0" applyFont="1" applyFill="1" applyAlignment="1">
      <alignment wrapText="1"/>
    </xf>
    <xf numFmtId="0" fontId="10" fillId="5" borderId="0" xfId="0" applyFont="1" applyFill="1" applyAlignment="1">
      <alignment horizontal="left" wrapText="1"/>
    </xf>
    <xf numFmtId="0" fontId="0" fillId="3" borderId="5" xfId="0" applyFill="1" applyBorder="1" applyAlignment="1">
      <alignment vertical="center" wrapText="1"/>
    </xf>
    <xf numFmtId="0" fontId="0" fillId="3" borderId="1" xfId="0" quotePrefix="1" applyFill="1" applyBorder="1"/>
    <xf numFmtId="0" fontId="0" fillId="0" borderId="1" xfId="0" quotePrefix="1" applyBorder="1"/>
    <xf numFmtId="0" fontId="3" fillId="4" borderId="4" xfId="0" applyFont="1" applyFill="1" applyBorder="1" applyAlignment="1">
      <alignment horizontal="left" wrapText="1"/>
    </xf>
    <xf numFmtId="0" fontId="9" fillId="4" borderId="3" xfId="0" applyFont="1" applyFill="1" applyBorder="1"/>
    <xf numFmtId="0" fontId="3" fillId="0" borderId="4" xfId="0" applyFont="1" applyBorder="1" applyAlignment="1">
      <alignment horizontal="left" wrapText="1"/>
    </xf>
    <xf numFmtId="0" fontId="9" fillId="0" borderId="3" xfId="0" applyFont="1" applyBorder="1"/>
    <xf numFmtId="0" fontId="3" fillId="4" borderId="6" xfId="0" applyFont="1" applyFill="1" applyBorder="1" applyAlignment="1">
      <alignment horizontal="left" wrapText="1"/>
    </xf>
    <xf numFmtId="0" fontId="9" fillId="4" borderId="7" xfId="0" applyFont="1" applyFill="1" applyBorder="1"/>
    <xf numFmtId="0" fontId="4" fillId="4" borderId="7" xfId="0" applyFont="1" applyFill="1" applyBorder="1" applyAlignment="1">
      <alignment horizontal="left" wrapText="1"/>
    </xf>
    <xf numFmtId="3" fontId="4" fillId="4" borderId="7" xfId="0" applyNumberFormat="1" applyFont="1" applyFill="1" applyBorder="1" applyAlignment="1">
      <alignment horizontal="right"/>
    </xf>
    <xf numFmtId="0" fontId="0" fillId="0" borderId="8" xfId="0" applyBorder="1"/>
    <xf numFmtId="0" fontId="13" fillId="0" borderId="0" xfId="0" applyFont="1"/>
    <xf numFmtId="0" fontId="0" fillId="6" borderId="0" xfId="0" applyFill="1" applyAlignment="1">
      <alignment wrapText="1"/>
    </xf>
    <xf numFmtId="0" fontId="14" fillId="6" borderId="0" xfId="0" applyFont="1" applyFill="1" applyAlignment="1">
      <alignment wrapText="1"/>
    </xf>
    <xf numFmtId="0" fontId="0" fillId="6" borderId="1" xfId="0" applyFill="1" applyBorder="1" applyAlignment="1">
      <alignment wrapText="1"/>
    </xf>
    <xf numFmtId="0" fontId="1" fillId="2" borderId="0" xfId="0" applyFont="1" applyFill="1" applyAlignment="1">
      <alignment wrapText="1"/>
    </xf>
    <xf numFmtId="0" fontId="18" fillId="0" borderId="0" xfId="0" applyFont="1"/>
    <xf numFmtId="0" fontId="18" fillId="0" borderId="0" xfId="0" applyFont="1" applyAlignment="1">
      <alignment wrapText="1"/>
    </xf>
    <xf numFmtId="0" fontId="1" fillId="7" borderId="2" xfId="0" applyFont="1" applyFill="1" applyBorder="1" applyAlignment="1">
      <alignment wrapText="1"/>
    </xf>
    <xf numFmtId="0" fontId="1" fillId="7" borderId="0" xfId="0" applyFont="1" applyFill="1" applyAlignment="1">
      <alignment wrapText="1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left"/>
    </xf>
    <xf numFmtId="0" fontId="4" fillId="4" borderId="0" xfId="0" applyFont="1" applyFill="1" applyAlignment="1">
      <alignment horizontal="left" wrapText="1"/>
    </xf>
    <xf numFmtId="0" fontId="0" fillId="8" borderId="0" xfId="0" applyFill="1" applyAlignment="1">
      <alignment wrapText="1"/>
    </xf>
    <xf numFmtId="0" fontId="0" fillId="9" borderId="1" xfId="0" applyFill="1" applyBorder="1" applyAlignment="1">
      <alignment wrapText="1"/>
    </xf>
    <xf numFmtId="0" fontId="4" fillId="9" borderId="1" xfId="0" applyFont="1" applyFill="1" applyBorder="1" applyAlignment="1">
      <alignment horizontal="left" wrapText="1"/>
    </xf>
  </cellXfs>
  <cellStyles count="2">
    <cellStyle name="Hyperlink" xfId="1" builtinId="8"/>
    <cellStyle name="Normal" xfId="0" builtinId="0"/>
  </cellStyles>
  <dxfs count="1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" formatCode="#,##0"/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" formatCode="#,##0"/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theme="8" tint="0.79998168889431442"/>
          <bgColor theme="8" tint="0.79998168889431442"/>
        </patternFill>
      </fill>
      <alignment horizontal="left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Menlo"/>
        <family val="2"/>
        <scheme val="none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color rgb="FF000000"/>
      </font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9" tint="0.39997558519241921"/>
        </left>
        <right/>
        <top style="thin">
          <color theme="9" tint="0.39997558519241921"/>
        </top>
        <bottom style="thin">
          <color theme="9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9" tint="0.39997558519241921"/>
        </left>
        <right/>
        <top style="thin">
          <color theme="9" tint="0.39997558519241921"/>
        </top>
        <bottom style="thin">
          <color theme="9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9" tint="0.39997558519241921"/>
        </left>
        <right/>
        <top style="thin">
          <color theme="9" tint="0.39997558519241921"/>
        </top>
        <bottom style="thin">
          <color theme="9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9" tint="0.39997558519241921"/>
        </left>
        <right/>
        <top style="thin">
          <color theme="9" tint="0.39997558519241921"/>
        </top>
        <bottom style="thin">
          <color theme="9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/>
    </dxf>
    <dxf>
      <alignment horizontal="general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9" tint="0.39997558519241921"/>
        </left>
        <right/>
        <top style="thin">
          <color theme="9" tint="0.39997558519241921"/>
        </top>
        <bottom style="thin">
          <color theme="9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5</xdr:col>
      <xdr:colOff>2172704</xdr:colOff>
      <xdr:row>40</xdr:row>
      <xdr:rowOff>114300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352FA84-CF23-C472-2175-E5DA5B218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0"/>
          <a:ext cx="11265904" cy="75438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anapathi, Santhakumar" id="{3AEEA9E3-ACC8-3245-AA99-2A9261E82E44}" userId="S::Santhakumar.Ganapathi@fbwinn.com::660f2fa8-8b75-446b-a984-d3165432008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D1FCB0E-E0C9-46CF-B29F-1E0DA40C4450}" name="Table2859" displayName="Table2859" ref="A1:H6" totalsRowShown="0" headerRowDxfId="127">
  <autoFilter ref="A1:H6" xr:uid="{4FD0FF3F-EFAB-AD4E-AD85-4194584066A3}"/>
  <tableColumns count="8">
    <tableColumn id="2" xr3:uid="{C153AFD3-A5F1-4F0A-9E40-2AF868AE0F0D}" name="Source Schema"/>
    <tableColumn id="3" xr3:uid="{FE4A0EFF-C98D-4A6D-A8E7-06AF7B686480}" name="Source Table"/>
    <tableColumn id="9" xr3:uid="{1878BF84-0467-4127-BDBE-566B3656BE03}" name="Alias"/>
    <tableColumn id="8" xr3:uid="{80DE52FD-41E1-4F0E-BFD2-5107227C7FC3}" name="Filter Conditions" dataDxfId="126"/>
    <tableColumn id="4" xr3:uid="{DECCFA49-E050-4CFF-A89A-0D27958B4110}" name="Parent Join Number"/>
    <tableColumn id="5" xr3:uid="{48E3B9E6-8512-4664-804B-547907E287E1}" name="Parent Table Join"/>
    <tableColumn id="6" xr3:uid="{ED862F8F-F778-4334-A091-630839D13F31}" name="Child Table Join"/>
    <tableColumn id="7" xr3:uid="{AE580F95-0A74-4BAF-A641-8632CD3E8751}" name="Join Typ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FECFFC-93AD-A24C-8EB3-62A9B872B94E}" name="Table1" displayName="Table1" ref="A1:V152" totalsRowShown="0" headerRowDxfId="122" headerRowBorderDxfId="121">
  <autoFilter ref="A1:V152" xr:uid="{99FECFFC-93AD-A24C-8EB3-62A9B872B94E}"/>
  <tableColumns count="22">
    <tableColumn id="1" xr3:uid="{9E520E50-4C24-E543-B8DD-6EF76527708A}" name="Source Schema" dataDxfId="120"/>
    <tableColumn id="2" xr3:uid="{93069BB7-3C06-A64D-B9B8-235AC2CA289B}" name="Source Table" dataDxfId="119"/>
    <tableColumn id="3" xr3:uid="{6C6F0D46-E8D8-184B-B7A5-D3A3545D96D1}" name="Source Column" dataDxfId="118"/>
    <tableColumn id="4" xr3:uid="{7F82A24A-CA94-9B4B-AD91-39F4191B5F2E}" name="Datatype"/>
    <tableColumn id="5" xr3:uid="{0853C89D-9CC0-A54F-9EEE-9D3255758DE2}" name="Automated Logic"/>
    <tableColumn id="6" xr3:uid="{0F9EABFC-A320-E441-B2D7-976C4BBC614B}" name="Manual Logic"/>
    <tableColumn id="7" xr3:uid="{086BF63F-1170-4C45-A078-34CD39AA37D1}" name="Mapping Notes"/>
    <tableColumn id="8" xr3:uid="{2D977188-DE25-9744-858E-271B20BCB1C8}" name="Order#" dataDxfId="117"/>
    <tableColumn id="9" xr3:uid="{F727967F-0102-FA47-8E85-53AA9C626012}" name="Staging Layer Column Name" dataDxfId="116"/>
    <tableColumn id="10" xr3:uid="{753BA418-31BD-ED49-B569-D915E0F68F16}" name="Staging Layer Datatype"/>
    <tableColumn id="22" xr3:uid="{56769761-AB1F-F24F-8676-66210393DA2F}" name="PK"/>
    <tableColumn id="12" xr3:uid="{EBAD5FED-1962-5E41-8690-142BCA95E84A}" name="Unique"/>
    <tableColumn id="13" xr3:uid="{FA10BE79-0397-D642-B45E-D42AA64AEB7F}" name="Not Null"/>
    <tableColumn id="23" xr3:uid="{E33D958A-4AC7-F640-B51C-D07E268F3896}" name="HASHDIFF"/>
    <tableColumn id="21" xr3:uid="{CFC5436F-ADD3-DE42-B049-798C0C19E11F}" name="SCD"/>
    <tableColumn id="20" xr3:uid="{48A71B9C-9933-A142-9CBD-C7800C7E15FD}" name="STG Incremental Strategy"/>
    <tableColumn id="18" xr3:uid="{DE289467-8CAB-F04F-8C2F-AC4EC1D106A3}" name="example"/>
    <tableColumn id="14" xr3:uid="{0B79E594-2B2E-DC4E-AE40-FB4B8FF02116}" name="Remove Column"/>
    <tableColumn id="15" xr3:uid="{D696CC5E-0957-474A-89ED-31CDE4CD1298}" name="Set Default"/>
    <tableColumn id="16" xr3:uid="{4B92991D-3D2B-4044-B531-B5FF91189B52}" name="Test Expression"/>
    <tableColumn id="17" xr3:uid="{331306E6-E748-0A4B-B1CF-F1A5DE46012D}" name="Accepted Values"/>
    <tableColumn id="19" xr3:uid="{570780C3-36DE-3E49-8A50-BED4281C8E5E}" name="Comment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75AD9-3255-A846-88E2-35E8A1ACD1B2}" name="Table28594" displayName="Table28594" ref="A1:H7" totalsRowShown="0" headerRowDxfId="115" dataDxfId="114">
  <autoFilter ref="A1:H7" xr:uid="{05F75AD9-3255-A846-88E2-35E8A1ACD1B2}"/>
  <tableColumns count="8">
    <tableColumn id="2" xr3:uid="{0C195C21-45D1-214B-A8A5-729F4F0ACB87}" name="Source Schema" dataDxfId="113"/>
    <tableColumn id="3" xr3:uid="{C25D7076-3FC2-F04A-ACAB-4DA47EE16407}" name="Source Table" dataDxfId="112"/>
    <tableColumn id="9" xr3:uid="{3509D1DB-F7D3-524F-8B75-7A50CF0C80F7}" name="Alias" dataDxfId="111"/>
    <tableColumn id="8" xr3:uid="{D53709CF-C647-0546-9608-0CBCEB7427A3}" name="Filter Conditions" dataDxfId="110"/>
    <tableColumn id="4" xr3:uid="{5B375838-AFBE-C54E-9781-2EA7FA71D357}" name="Parent Join Number" dataDxfId="109"/>
    <tableColumn id="5" xr3:uid="{FFD4DAB2-4BBC-0048-8EA2-752E89F996EE}" name="Parent Table Join" dataDxfId="108"/>
    <tableColumn id="6" xr3:uid="{8DEF69D0-5019-C14F-9AD8-4D9502E24E21}" name="Child Table Join" dataDxfId="107"/>
    <tableColumn id="7" xr3:uid="{2BC482D8-F6CF-7045-BBD3-6A0269A8112E}" name="Join Type" dataDxfId="10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EA2B12-92E1-A84F-B17E-6354DEF2FF9D}" name="Table15" displayName="Table15" ref="A1:V151" totalsRowShown="0" headerRowDxfId="100" headerRowBorderDxfId="99">
  <autoFilter ref="A1:V151" xr:uid="{53EA2B12-92E1-A84F-B17E-6354DEF2FF9D}"/>
  <tableColumns count="22">
    <tableColumn id="1" xr3:uid="{4CC05BDC-51BD-7048-BCBD-053313AFF97F}" name="Source Schema" dataDxfId="98"/>
    <tableColumn id="2" xr3:uid="{D3D3397C-15AC-914B-8B12-FAD1155D2A12}" name="Source Table" dataDxfId="97"/>
    <tableColumn id="3" xr3:uid="{80FC73B3-6147-7E4E-8432-50C2EBFEACA8}" name="Source Column" dataDxfId="96"/>
    <tableColumn id="4" xr3:uid="{CEA144DE-2626-5A48-80C3-8100EA87FFFB}" name="Datatype"/>
    <tableColumn id="5" xr3:uid="{6CD20883-46BD-9440-BC48-20F0A7384D6A}" name="Automated Logic"/>
    <tableColumn id="6" xr3:uid="{A3DE59D0-35A6-F04E-AEE4-787DECDCF1C3}" name="Manual Logic"/>
    <tableColumn id="7" xr3:uid="{306AAE31-D391-E544-B190-BAEEC7AA5682}" name="Mapping Notes"/>
    <tableColumn id="8" xr3:uid="{6200FD20-6002-8F4D-B1B9-B5326D592A0B}" name="Order#" dataDxfId="95"/>
    <tableColumn id="9" xr3:uid="{725DA9B2-5202-DF4E-A913-82CE1887A9AC}" name="Staging Layer Column Name" dataDxfId="94"/>
    <tableColumn id="10" xr3:uid="{E0D30C2D-9521-EA4C-90B6-B95836C50B33}" name="Staging Layer Datatype"/>
    <tableColumn id="18" xr3:uid="{6BEE1C39-F928-944C-A6D6-2A7A93D7E2A2}" name="HASHDIFF"/>
    <tableColumn id="11" xr3:uid="{F246EF2D-C0B6-FB42-83B0-D5E00E8827E6}" name="PK"/>
    <tableColumn id="12" xr3:uid="{89A7392F-673F-234C-BCD8-28C2BBADB8AB}" name="Unique"/>
    <tableColumn id="13" xr3:uid="{A4FC38E3-86D3-4B47-885F-138FC2EC52A6}" name="Not Null"/>
    <tableColumn id="22" xr3:uid="{CED9512C-89C2-F245-9EE9-F97D7C74CD82}" name="SCD"/>
    <tableColumn id="21" xr3:uid="{DB283EB3-3708-884B-87C2-2816B2651AF1}" name="STG Incremental Strategy"/>
    <tableColumn id="20" xr3:uid="{CE736CDF-2F9D-B94D-A415-EABE61FE2F48}" name="example"/>
    <tableColumn id="14" xr3:uid="{46F4BE56-01EA-C249-BDDB-EE0974EF7AB8}" name="Remove Column"/>
    <tableColumn id="15" xr3:uid="{68135734-AFB4-144B-B53F-C7AD01778C62}" name="Set Default"/>
    <tableColumn id="16" xr3:uid="{FCFEED4C-A22B-9244-94FA-52726EA568D4}" name="Test Expression"/>
    <tableColumn id="17" xr3:uid="{BB9CA5B0-C0C6-DD44-B7BC-96684955C3E7}" name="Accepted Values"/>
    <tableColumn id="19" xr3:uid="{2C70F471-1D19-B04A-87E8-2ACB6AB778BD}" name="Com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050F6CE-D701-F44C-A0A0-04BD45C167F3}" name="Table285946" displayName="Table285946" ref="A1:H7" totalsRowShown="0" headerRowDxfId="93" dataDxfId="92">
  <autoFilter ref="A1:H7" xr:uid="{1050F6CE-D701-F44C-A0A0-04BD45C167F3}"/>
  <tableColumns count="8">
    <tableColumn id="2" xr3:uid="{BA0A9FBF-4784-864A-B4C6-E5EA78FB0E1A}" name="Source Schema" dataDxfId="91"/>
    <tableColumn id="3" xr3:uid="{07D6E8C8-33C2-D440-8D31-12C0A359FF2B}" name="Source Table" dataDxfId="90"/>
    <tableColumn id="9" xr3:uid="{1F5FB766-9155-ED45-A185-0D47D58F6658}" name="Alias" dataDxfId="89"/>
    <tableColumn id="8" xr3:uid="{40CCDA31-4F38-A247-B1FE-83477576F9D4}" name="Filter Conditions" dataDxfId="88"/>
    <tableColumn id="4" xr3:uid="{573A9822-1F61-204A-84C1-B296064876B8}" name="Parent Join Number" dataDxfId="87"/>
    <tableColumn id="5" xr3:uid="{DADB8527-AFC5-984D-9ED6-EC30CC4CB428}" name="Parent Table Join" dataDxfId="86"/>
    <tableColumn id="6" xr3:uid="{BAA41E4A-6726-8047-ABCF-7B6BDC6EB727}" name="Child Table Join" dataDxfId="85"/>
    <tableColumn id="7" xr3:uid="{23E5A4C6-5331-C445-9FBC-6DB537AE912A}" name="Join Type" dataDxfId="8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D982086-2AAF-2E4E-9B8F-5C42042F295F}" name="Table158" displayName="Table158" ref="A1:V21" totalsRowShown="0" headerRowDxfId="77" headerRowBorderDxfId="76">
  <autoFilter ref="A1:V21" xr:uid="{3D982086-2AAF-2E4E-9B8F-5C42042F295F}"/>
  <tableColumns count="22">
    <tableColumn id="1" xr3:uid="{89123489-7262-1F40-B626-18AA1CFD951C}" name="Source Schema" dataDxfId="75"/>
    <tableColumn id="2" xr3:uid="{36AE7B51-B169-6F48-AA67-48B02402FC04}" name="Source Table" dataDxfId="74"/>
    <tableColumn id="3" xr3:uid="{79E89673-775E-9444-BC39-6856738F2C67}" name="Source Column" dataDxfId="73"/>
    <tableColumn id="4" xr3:uid="{1E6E1F6F-32D0-AA42-898F-B830F9F80AE0}" name="Datatype"/>
    <tableColumn id="5" xr3:uid="{BB9EED1C-9A7C-0643-AAAB-EC32C2964674}" name="Automated Logic"/>
    <tableColumn id="6" xr3:uid="{83D4ABDF-2680-1544-8675-AC0DE23CC01C}" name="Manual Logic"/>
    <tableColumn id="7" xr3:uid="{FA68DDA1-2AFA-B646-806E-E43B7A89666A}" name="Mapping Notes"/>
    <tableColumn id="8" xr3:uid="{D3815BE2-31CC-2541-83B9-899AF0A6697C}" name="Order#" dataDxfId="72"/>
    <tableColumn id="9" xr3:uid="{0F0BCFAA-33B6-2A42-A45A-7576E3454DEA}" name="Staging Layer Column Name" dataDxfId="71"/>
    <tableColumn id="10" xr3:uid="{51BD929D-B78D-AC45-BFD9-8545803EBD93}" name="Staging Layer Datatype"/>
    <tableColumn id="11" xr3:uid="{54CF9E4B-13C2-A647-AEE7-91F17868FD46}" name="HASHDIFF"/>
    <tableColumn id="23" xr3:uid="{8CFD1905-A48E-C148-9769-D791F4CD2CD0}" name="PK"/>
    <tableColumn id="12" xr3:uid="{7F53C439-6A31-FB4B-8558-C87E858A5B4A}" name="Unique"/>
    <tableColumn id="13" xr3:uid="{1AA4FE81-CE3A-6449-939F-ED446D2799C3}" name="Not Null"/>
    <tableColumn id="22" xr3:uid="{92C034D0-4478-F741-896E-8728D4B78ADB}" name="SCD"/>
    <tableColumn id="21" xr3:uid="{285E06DF-C9AA-334C-80D2-002641A81D2A}" name="STG Incremental Strategy"/>
    <tableColumn id="20" xr3:uid="{F45326F1-0743-D141-8822-F2A19683066C}" name="example"/>
    <tableColumn id="14" xr3:uid="{8791B042-1D38-7642-92A6-88A9A37525C7}" name="Remove Column"/>
    <tableColumn id="15" xr3:uid="{EB0F3D50-BD8A-064F-8653-B3CE33073B9D}" name="Set Default"/>
    <tableColumn id="16" xr3:uid="{FC27F659-4A65-5541-94A4-02A4B8D9D770}" name="Test Expression"/>
    <tableColumn id="17" xr3:uid="{DEB7D4BB-3481-A146-8CE3-4F5815C537E3}" name="Accepted Values"/>
    <tableColumn id="19" xr3:uid="{7C75990F-E4ED-5F4E-A6EE-E62606A0F121}" name="Commen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FED4491-9C20-BF45-9B34-80F147AF8705}" name="Table28594610" displayName="Table28594610" ref="A1:H8" totalsRowShown="0" headerRowDxfId="70" dataDxfId="69">
  <autoFilter ref="A1:H8" xr:uid="{1FED4491-9C20-BF45-9B34-80F147AF8705}"/>
  <tableColumns count="8">
    <tableColumn id="2" xr3:uid="{9C16F7B8-7CCF-1E45-9A41-993BD10DCCF9}" name="Source Schema" dataDxfId="68"/>
    <tableColumn id="3" xr3:uid="{1CA85565-4A1A-0F4A-A043-DF5A313D032A}" name="Source Table" dataDxfId="67"/>
    <tableColumn id="9" xr3:uid="{9DD9C847-B49D-ED4F-84B1-5E30D82CE0E3}" name="Alias" dataDxfId="66"/>
    <tableColumn id="8" xr3:uid="{6FBA6C73-2EE7-EE47-818A-3C0F01E560FA}" name="Filter Conditions" dataDxfId="65"/>
    <tableColumn id="4" xr3:uid="{7ACAB09A-9BF1-B349-81F4-98C97146D9C5}" name="Parent Join Number" dataDxfId="64"/>
    <tableColumn id="5" xr3:uid="{8C73CDCB-31F0-844A-A191-B6DA0D2431AF}" name="Parent Table Join" dataDxfId="63"/>
    <tableColumn id="6" xr3:uid="{1BE09A9A-2A50-8D44-BE4D-19BA85EC167E}" name="Child Table Join" dataDxfId="62"/>
    <tableColumn id="7" xr3:uid="{0CCEDF19-5813-BC42-8704-80D3B80E40D0}" name="Join Type" dataDxfId="6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C00A3B4-F2CD-494E-A6DB-9B4168D3C16D}" name="Table15811" displayName="Table15811" ref="A1:V60" totalsRowShown="0" headerRowDxfId="54" headerRowBorderDxfId="53">
  <autoFilter ref="A1:V60" xr:uid="{CC00A3B4-F2CD-494E-A6DB-9B4168D3C16D}"/>
  <tableColumns count="22">
    <tableColumn id="1" xr3:uid="{6CBFC831-0B50-7E47-9110-7F7B104EC865}" name="Source Schema" dataDxfId="52"/>
    <tableColumn id="2" xr3:uid="{AB1996DA-866B-5945-9EBC-0B16C442112D}" name="Source Table" dataDxfId="51"/>
    <tableColumn id="3" xr3:uid="{7722C531-0A4F-414B-A43E-3BE7A6F1062B}" name="Source Column" dataDxfId="50"/>
    <tableColumn id="4" xr3:uid="{EEBC40CA-AC88-D441-8C19-0185E86F318E}" name="Datatype"/>
    <tableColumn id="5" xr3:uid="{D87AF687-6E52-B842-95FA-5717CCCC720E}" name="Automated Logic"/>
    <tableColumn id="6" xr3:uid="{8C25C0A8-679E-D54D-8F8D-FE67AAC73603}" name="Manual Logic"/>
    <tableColumn id="7" xr3:uid="{D7014CC5-A62C-9843-8FAF-8B4EFEB09975}" name="Mapping Notes"/>
    <tableColumn id="8" xr3:uid="{71B19F72-D736-EE40-893B-FE64BC6A7361}" name="Order#" dataDxfId="49"/>
    <tableColumn id="9" xr3:uid="{78541596-C05A-8A48-8B95-53A2DDACCB49}" name="Staging Layer Column Name" dataDxfId="48"/>
    <tableColumn id="10" xr3:uid="{D23CF65C-B490-6349-854E-FA7E0C183B64}" name="Staging Layer Datatype"/>
    <tableColumn id="18" xr3:uid="{1E64082A-5637-1145-8C22-CE2025CD8610}" name="HASHDIFF"/>
    <tableColumn id="11" xr3:uid="{F2928D24-0D6C-3443-AC3F-BC1648CEE0DF}" name="PK"/>
    <tableColumn id="12" xr3:uid="{B626C21D-CEEB-3144-B8FC-665FB7D005C2}" name="Unique"/>
    <tableColumn id="13" xr3:uid="{1293F394-3BE8-9D43-8B59-E74305C7A2AC}" name="Not Null"/>
    <tableColumn id="22" xr3:uid="{2B6189D9-57EF-8049-AC21-093A99300C11}" name="SCD"/>
    <tableColumn id="21" xr3:uid="{B2E34EB7-C6EA-B94C-B6FE-E1A4BD4AF802}" name="STG Incremental Strategy"/>
    <tableColumn id="20" xr3:uid="{4ACFB42E-A722-824D-8985-D8E7D7B17935}" name="example"/>
    <tableColumn id="14" xr3:uid="{0A0E0736-60F5-C649-8B1C-85D9B00C0827}" name="Remove Column"/>
    <tableColumn id="15" xr3:uid="{99DAAC58-81BE-FF43-AA9F-6761C2A82ABD}" name="Set Default"/>
    <tableColumn id="16" xr3:uid="{C5E8F627-9D27-7A46-8D0A-F6995AA6E287}" name="Test Expression"/>
    <tableColumn id="17" xr3:uid="{CF921372-0F69-F74C-B9BA-A11D92E9C2AF}" name="Accepted Values"/>
    <tableColumn id="19" xr3:uid="{DDDDA63A-401A-1847-A725-D65C4BBDFAB8}" name="Comment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2D51D3-FFCF-D04B-803E-BD0965E6E936}" name="Table28594612" displayName="Table28594612" ref="A1:H4" totalsRowShown="0" headerRowDxfId="47" dataDxfId="46">
  <autoFilter ref="A1:H4" xr:uid="{032D51D3-FFCF-D04B-803E-BD0965E6E936}"/>
  <tableColumns count="8">
    <tableColumn id="2" xr3:uid="{1582ED88-CC0D-124F-B69F-F1F337A28E38}" name="Source Schema" dataDxfId="45"/>
    <tableColumn id="3" xr3:uid="{6F60042A-180D-CE4F-AEFE-991C7FEBC754}" name="Source Table" dataDxfId="44"/>
    <tableColumn id="9" xr3:uid="{E8EC1E63-A787-9D4B-9681-0D5A8D911E18}" name="Alias" dataDxfId="43"/>
    <tableColumn id="8" xr3:uid="{61421126-62EC-F042-8B1C-8A8ED5D5A14E}" name="Filter Conditions" dataDxfId="42"/>
    <tableColumn id="4" xr3:uid="{96D85D89-58D7-914F-B111-E0E7435CA9C4}" name="Parent Join Number" dataDxfId="41"/>
    <tableColumn id="5" xr3:uid="{ECF8BBD6-BD0A-D642-BF6D-C93A4F57D1BF}" name="Parent Table Join" dataDxfId="40"/>
    <tableColumn id="6" xr3:uid="{02176A90-C997-7B4E-9DBB-A0E553CB8171}" name="Child Table Join" dataDxfId="39"/>
    <tableColumn id="7" xr3:uid="{3CE091DA-7BDA-9F41-B9B5-5DB04121CA14}" name="Join Type" dataDxfId="3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FF1C3A9-3D96-6C41-AC0F-A2CADD8F0B53}" name="Table15813" displayName="Table15813" ref="A1:U65" totalsRowShown="0" headerRowDxfId="29" headerRowBorderDxfId="28">
  <autoFilter ref="A1:U65" xr:uid="{4FF1C3A9-3D96-6C41-AC0F-A2CADD8F0B53}"/>
  <tableColumns count="21">
    <tableColumn id="1" xr3:uid="{B6760B23-952E-D64D-B4C0-8FE04DC4670B}" name="Source Schema" dataDxfId="27"/>
    <tableColumn id="2" xr3:uid="{96003A2E-3B56-4443-9063-448156C27629}" name="Source Table" dataDxfId="26"/>
    <tableColumn id="3" xr3:uid="{29F91DC1-CB9A-4945-824D-E303CF5E9CDE}" name="Source Column" dataDxfId="25"/>
    <tableColumn id="4" xr3:uid="{799D6D9C-3648-0045-8992-0BB27B11BA84}" name="Datatype"/>
    <tableColumn id="5" xr3:uid="{227AF861-3A0C-1147-BAD7-412859BF3221}" name="Automated Logic"/>
    <tableColumn id="6" xr3:uid="{224234CA-4FD2-9646-8C6D-99A6A6732544}" name="Manual Logic"/>
    <tableColumn id="7" xr3:uid="{B425B3EF-684F-AE4D-9A6C-94B3B49A392D}" name="Mapping Notes"/>
    <tableColumn id="8" xr3:uid="{0CFB0003-4B7C-D647-B2D4-D27F7FA4D2FD}" name="Order#" dataDxfId="24"/>
    <tableColumn id="9" xr3:uid="{3DEACD5E-342C-C542-AA14-3BD8402CC4BE}" name="Staging Layer Column Name" dataDxfId="23"/>
    <tableColumn id="10" xr3:uid="{05B8213B-2B42-A244-88F5-4E0E89FF89CA}" name="Staging Layer Datatype"/>
    <tableColumn id="18" xr3:uid="{E981E63B-0619-9C47-BA47-D1C1804A9CB6}" name="HASHDIFF" dataDxfId="22"/>
    <tableColumn id="11" xr3:uid="{645EB583-C33B-654F-A329-D99F1E96C2D9}" name="PK"/>
    <tableColumn id="12" xr3:uid="{AE573E4C-D8E3-B34B-93DC-8168C9A456C9}" name="Unique"/>
    <tableColumn id="13" xr3:uid="{7451FBE9-52D7-B641-8025-F0B83724768B}" name="Not Null"/>
    <tableColumn id="22" xr3:uid="{2BEBD43B-5CAB-0D4F-9C08-932CDDCC0033}" name="SCD"/>
    <tableColumn id="20" xr3:uid="{7FA6AC88-F8B5-1B4D-8849-F1C887FD0E06}" name="example" dataDxfId="21"/>
    <tableColumn id="14" xr3:uid="{57A1BC82-AFBC-ED47-9736-C7369296A932}" name="Remove Column"/>
    <tableColumn id="15" xr3:uid="{B464F7EF-11AF-B94C-A470-977CD1BFB4E9}" name="Set Default"/>
    <tableColumn id="16" xr3:uid="{D1DCA053-DA60-B24A-8D07-4B34B47926A3}" name="Test Expression"/>
    <tableColumn id="17" xr3:uid="{F7474F9F-315F-5743-A692-C1B076FD4EA3}" name="Accepted Values"/>
    <tableColumn id="19" xr3:uid="{92B33B8E-6C44-1742-B9B0-E19882A275D9}" name="Comment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B7D313-3B95-41FC-BFB5-4DDA3F4082D1}" name="Table2" displayName="Table2" ref="A1:I6" totalsRowShown="0" headerRowDxfId="20">
  <autoFilter ref="A1:I6" xr:uid="{1311C20C-7CBB-47C8-8D19-478402480780}"/>
  <tableColumns count="9">
    <tableColumn id="2" xr3:uid="{6F5126EC-5282-484D-B6A5-989D2B308B9B}" name="Source Schema"/>
    <tableColumn id="3" xr3:uid="{75015E0F-38F6-4B05-87D7-7A5AADE205BC}" name="Source Table"/>
    <tableColumn id="9" xr3:uid="{E0F907A6-E906-4937-9CCE-9C95C0705CD0}" name="Alias"/>
    <tableColumn id="8" xr3:uid="{2FBDB257-9793-480A-BA61-21BB39D8BD54}" name="Filter Conditions" dataDxfId="19"/>
    <tableColumn id="1" xr3:uid="{10D1954C-10B0-C041-B6BE-FCA1B9BE4373}" name="Final Layer Filter" dataDxfId="18"/>
    <tableColumn id="4" xr3:uid="{3672AE0D-4066-4AE4-8B81-F91DCDC30066}" name="Parent Join Number"/>
    <tableColumn id="5" xr3:uid="{0D833037-CFE1-4566-9402-903970F6DFE1}" name="Parent Table Join"/>
    <tableColumn id="6" xr3:uid="{FE321A9B-42A0-4909-AF3E-7A8FF58B87CA}" name="Child Table Join"/>
    <tableColumn id="7" xr3:uid="{F8E5B0E4-7BBE-4A6D-989F-B1C19296D8D6}" name="Join Type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21C9DE5-F445-B14C-BC53-84AF8D12C793}" name="Table17" displayName="Table17" ref="A1:R30" totalsRowShown="0" headerRowDxfId="17">
  <autoFilter ref="A1:R30" xr:uid="{621C9DE5-F445-B14C-BC53-84AF8D12C793}"/>
  <tableColumns count="18">
    <tableColumn id="1" xr3:uid="{9144A55D-EEE9-304D-B6F2-76ACFE24E1B6}" name="Source Schema"/>
    <tableColumn id="2" xr3:uid="{0CB2A3E3-19F6-614C-9A24-F188178CE786}" name="Source Table"/>
    <tableColumn id="3" xr3:uid="{DF53FA7D-0E08-FA42-868A-25873492F09B}" name="Source Column"/>
    <tableColumn id="4" xr3:uid="{992F1A32-9E39-3C48-A8E4-CAAEB168DBF9}" name="Datatype"/>
    <tableColumn id="5" xr3:uid="{891829F0-CBBB-7044-9C83-8EB2FAB57CF3}" name="Automated Logic"/>
    <tableColumn id="6" xr3:uid="{EE2F170E-42B9-874B-828E-3711E46C21EA}" name="Manual Logic"/>
    <tableColumn id="7" xr3:uid="{A11B6E74-81F4-334C-8A02-911D30452306}" name="Mapping Notes"/>
    <tableColumn id="8" xr3:uid="{1D8204EC-5266-C34A-8536-15AF44BCD41D}" name="Order#"/>
    <tableColumn id="9" xr3:uid="{799CAFD1-04A5-4449-895E-427C9293394B}" name="Staging Layer Column Name"/>
    <tableColumn id="10" xr3:uid="{DFC483B6-B01E-6444-81A7-C5280429D525}" name="Staging Layer Datatype"/>
    <tableColumn id="13" xr3:uid="{2C8FAA0E-1F27-9C4B-9464-67B209C83AFE}" name="PK" dataDxfId="16"/>
    <tableColumn id="11" xr3:uid="{89B0AB24-E8EB-384B-84A6-DA146758DAD1}" name="Unique"/>
    <tableColumn id="12" xr3:uid="{34B9F936-F011-3E42-8DF5-EE4EC6E88AE1}" name="Not Null"/>
    <tableColumn id="14" xr3:uid="{47506954-3974-B24B-BAD4-322D86F71728}" name="Remove Column"/>
    <tableColumn id="15" xr3:uid="{4CB8E929-40AD-2641-BA55-16436B0AF990}" name="Set Default"/>
    <tableColumn id="16" xr3:uid="{7F8546D5-7F5A-524B-A0FF-EE95A7006D36}" name="Test Expression"/>
    <tableColumn id="17" xr3:uid="{8F94145B-B339-CD4C-A107-CA544E9058E0}" name="Accepted Values"/>
    <tableColumn id="18" xr3:uid="{A237F0FC-3945-9545-8185-D3E70E7D6144}" name="Relationship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D0EB6C-7F96-4BF1-A6CB-D15429669B80}" name="Table24121314" displayName="Table24121314" ref="A1:I7" totalsRowShown="0" headerRowDxfId="15">
  <autoFilter ref="A1:I7" xr:uid="{1311C20C-7CBB-47C8-8D19-478402480780}"/>
  <tableColumns count="9">
    <tableColumn id="2" xr3:uid="{7317EB67-D730-432E-8250-6978701FCA73}" name="Source Schema"/>
    <tableColumn id="3" xr3:uid="{00E1E49E-6D71-4FD5-92C1-5DCA0FB0EF8C}" name="Source Table"/>
    <tableColumn id="9" xr3:uid="{D4CF82AF-CF48-4001-A1E0-911D80E83EFC}" name="Alias"/>
    <tableColumn id="8" xr3:uid="{9CB49548-2F6C-41D9-8D9A-D5C0FC7E7209}" name="Filter Conditions"/>
    <tableColumn id="1" xr3:uid="{A070B7C4-2DEF-D245-93C1-ED83A374E5A3}" name="Final Layer Filter"/>
    <tableColumn id="4" xr3:uid="{ED609D27-1DE6-4E49-B36C-C61F2734FF77}" name="Parent Join Number"/>
    <tableColumn id="5" xr3:uid="{499F574E-0032-452B-827D-6572F4D78FC3}" name="Parent Table Join"/>
    <tableColumn id="6" xr3:uid="{7684A673-A24E-44FE-B974-41C657A94D5C}" name="Child Table Join"/>
    <tableColumn id="7" xr3:uid="{DF1A5413-9B40-4966-BD8D-718AF7FCAFDF}" name="Join Type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5844C79-9B23-4BBE-AA9F-2007007344FD}" name="Table7151617" displayName="Table7151617" ref="A1:S42" totalsRowShown="0" headerRowDxfId="14">
  <autoFilter ref="A1:S42" xr:uid="{811269D0-E58A-F248-B1A8-D626D5F94423}"/>
  <tableColumns count="19">
    <tableColumn id="1" xr3:uid="{FE09F0A9-2D3C-4EB4-8B3A-86FB7063CCEB}" name="Source Schema"/>
    <tableColumn id="2" xr3:uid="{610182E8-805D-4BC6-9875-E54E98CFD173}" name="Source Table"/>
    <tableColumn id="3" xr3:uid="{A98C0A56-4661-4FC7-B83D-BC565BD55832}" name="Source Column"/>
    <tableColumn id="4" xr3:uid="{3C2E13EF-9B9E-4C06-8CD6-F7F677EC3B5A}" name="Datatype" dataDxfId="13"/>
    <tableColumn id="5" xr3:uid="{7E017EA2-80E1-4931-B050-CF3F7703D0F8}" name="Automated Logic" dataDxfId="12"/>
    <tableColumn id="6" xr3:uid="{D0B6F7FA-A8CD-48E1-A2D0-BC990A2F53BB}" name="Manual Logic" dataDxfId="11"/>
    <tableColumn id="7" xr3:uid="{2E42FB4D-A409-48D9-842D-A10D5E7B43BC}" name="Mapping Notes" dataDxfId="10"/>
    <tableColumn id="8" xr3:uid="{6C37FCB2-BDDC-4925-A814-8D8F3AA0A690}" name="Order#" dataDxfId="9"/>
    <tableColumn id="9" xr3:uid="{BFD9DD1C-7E5F-427D-8243-39608AB6F4F1}" name="Staging Layer Column Name"/>
    <tableColumn id="10" xr3:uid="{AB5E2D85-88A8-4ABA-AFAD-248CD0607E10}" name="Staging Layer Datatype"/>
    <tableColumn id="11" xr3:uid="{F0DF4B96-7552-4C89-8C4F-E66F7EA3762B}" name="PK"/>
    <tableColumn id="12" xr3:uid="{AE5F8DA3-8A92-485E-A3C0-4F560BC41CC9}" name="Unique"/>
    <tableColumn id="13" xr3:uid="{ACB5D6EC-B0D6-42D5-9EDF-D58564E71ECA}" name="Not Null"/>
    <tableColumn id="20" xr3:uid="{8F925138-5658-B449-89EA-734E0B208B80}" name="EXAMPLE: Incremental Strategy"/>
    <tableColumn id="14" xr3:uid="{6C353DDE-969C-4B33-AA3D-702A406E2647}" name="Remove Column"/>
    <tableColumn id="15" xr3:uid="{D85841C8-43D3-455A-ABB8-9C4D7D5E4B0C}" name="Set Default" dataDxfId="8"/>
    <tableColumn id="16" xr3:uid="{C7A2BA33-AB66-4E31-A5BD-CDFA784D55B1}" name="Test Expression"/>
    <tableColumn id="17" xr3:uid="{97AC9FA9-5585-4509-AD92-D8745CD5E8C7}" name="Accepted Values"/>
    <tableColumn id="18" xr3:uid="{8D2FC085-3663-4486-82C3-465D1F048DB9}" name="Relationship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1B40EEE-0092-1941-B5C8-511DE02E8FCA}" name="Table2412131415" displayName="Table2412131415" ref="A1:I7" totalsRowShown="0" headerRowDxfId="7">
  <autoFilter ref="A1:I7" xr:uid="{B1B40EEE-0092-1941-B5C8-511DE02E8FCA}"/>
  <tableColumns count="9">
    <tableColumn id="2" xr3:uid="{7B2DEB25-83E0-1549-BA5D-E86A4A0E2185}" name="Source Schema"/>
    <tableColumn id="3" xr3:uid="{8875DB75-F842-EB4B-AA12-114D02D495D9}" name="Source Table"/>
    <tableColumn id="9" xr3:uid="{5591C76C-C15C-424F-AC8D-A9C91752B3F5}" name="Alias"/>
    <tableColumn id="8" xr3:uid="{0F6C3952-C767-8641-92D0-C761A2E86E10}" name="Filter Conditions"/>
    <tableColumn id="1" xr3:uid="{758CC0E2-4CF5-9148-AE9F-5B019775AF48}" name="Final Layer Filter"/>
    <tableColumn id="4" xr3:uid="{697CD158-6493-D64F-B135-6248D1C10A81}" name="Parent Join Number"/>
    <tableColumn id="5" xr3:uid="{B2A6C150-DE5C-6740-8C10-035E809182CD}" name="Parent Table Join"/>
    <tableColumn id="6" xr3:uid="{6E358A41-9E01-1941-909D-3E74EF7D182A}" name="Child Table Join"/>
    <tableColumn id="7" xr3:uid="{01166212-5326-B642-8E8A-69675734D3CA}" name="Join Type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91CAD9E-D9BA-414E-8038-C157225B038E}" name="Table715161716" displayName="Table715161716" ref="A1:S10" totalsRowShown="0" headerRowDxfId="6">
  <autoFilter ref="A1:S10" xr:uid="{F91CAD9E-D9BA-414E-8038-C157225B038E}"/>
  <tableColumns count="19">
    <tableColumn id="1" xr3:uid="{57F6D8F4-DBA2-034B-BFF8-AA4480448AAB}" name="Source Schema"/>
    <tableColumn id="2" xr3:uid="{1BE3E9C5-1B1D-1D46-9891-7A5EB4A2EE67}" name="Source Table"/>
    <tableColumn id="3" xr3:uid="{ED9E4D7E-FF0C-E040-8E58-6A3679CD20A8}" name="Source Column"/>
    <tableColumn id="4" xr3:uid="{CF6B098D-1F90-9A43-8A95-325CF91156B1}" name="Datatype" dataDxfId="5"/>
    <tableColumn id="5" xr3:uid="{96F9884B-71CA-2548-97E9-060F335A9FCF}" name="Automated Logic" dataDxfId="4"/>
    <tableColumn id="6" xr3:uid="{2C3460DE-FD21-3745-8A45-80144ABA4067}" name="Manual Logic" dataDxfId="3"/>
    <tableColumn id="7" xr3:uid="{F631F01F-6BC7-B645-94E2-2C3EA842DA2C}" name="Mapping Notes" dataDxfId="2"/>
    <tableColumn id="8" xr3:uid="{9A9275E4-33B6-074C-BEEC-2CE810BCC96D}" name="Order#" dataDxfId="1"/>
    <tableColumn id="9" xr3:uid="{298A8C4A-2A19-8741-A93C-6545AC425959}" name="Staging Layer Column Name"/>
    <tableColumn id="10" xr3:uid="{5FDA678E-8542-364B-8285-EE47A1E822E7}" name="Staging Layer Datatype"/>
    <tableColumn id="11" xr3:uid="{859939EF-1EFA-A54C-AF83-2F99E791E38D}" name="PK"/>
    <tableColumn id="12" xr3:uid="{8CC0849A-41CE-504D-A321-3D39F7B74F3A}" name="Unique"/>
    <tableColumn id="13" xr3:uid="{72D2A814-3F98-384E-AE15-334BCC918180}" name="Not Null"/>
    <tableColumn id="20" xr3:uid="{3EC3384F-AC83-2B4B-8C63-42341780EACD}" name="Example: SAT Incremental Strategy"/>
    <tableColumn id="14" xr3:uid="{8CE450F4-5C57-B847-97CB-626995079334}" name="Remove Column"/>
    <tableColumn id="15" xr3:uid="{9B662F47-6C0C-3B46-99ED-0250AC39A8AC}" name="Set Default" dataDxfId="0"/>
    <tableColumn id="16" xr3:uid="{1CDA3DA5-D453-4E4E-8539-C1E799DF94EF}" name="Test Expression"/>
    <tableColumn id="17" xr3:uid="{79F24A3C-403F-784F-9F2F-11DDB829DBFF}" name="Accepted Values"/>
    <tableColumn id="18" xr3:uid="{C9730C90-B87E-8446-862B-6ABB0AF139B5}" name="Relationship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6" dT="2024-08-28T01:06:41.70" personId="{3AEEA9E3-ACC8-3245-AA99-2A9261E82E44}" id="{60142B53-B36E-6342-A46F-39C6542AD94E}">
    <text>Prevailing design has duplicate listed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8F89E-57AC-C544-A9D3-6BD03A32D5A8}">
  <dimension ref="A1:A19"/>
  <sheetViews>
    <sheetView tabSelected="1" workbookViewId="0">
      <selection activeCell="H34" sqref="H34"/>
    </sheetView>
  </sheetViews>
  <sheetFormatPr baseColWidth="10" defaultRowHeight="15" x14ac:dyDescent="0.2"/>
  <cols>
    <col min="1" max="1" width="27.83203125" bestFit="1" customWidth="1"/>
  </cols>
  <sheetData>
    <row r="1" spans="1:1" x14ac:dyDescent="0.2">
      <c r="A1" t="s">
        <v>200</v>
      </c>
    </row>
    <row r="2" spans="1:1" x14ac:dyDescent="0.2">
      <c r="A2" s="25" t="s">
        <v>553</v>
      </c>
    </row>
    <row r="3" spans="1:1" x14ac:dyDescent="0.2">
      <c r="A3" s="25" t="s">
        <v>554</v>
      </c>
    </row>
    <row r="4" spans="1:1" x14ac:dyDescent="0.2">
      <c r="A4" s="25" t="s">
        <v>300</v>
      </c>
    </row>
    <row r="5" spans="1:1" x14ac:dyDescent="0.2">
      <c r="A5" s="25" t="s">
        <v>301</v>
      </c>
    </row>
    <row r="6" spans="1:1" x14ac:dyDescent="0.2">
      <c r="A6" s="25" t="s">
        <v>302</v>
      </c>
    </row>
    <row r="7" spans="1:1" x14ac:dyDescent="0.2">
      <c r="A7" s="25" t="s">
        <v>307</v>
      </c>
    </row>
    <row r="8" spans="1:1" x14ac:dyDescent="0.2">
      <c r="A8" s="25" t="s">
        <v>303</v>
      </c>
    </row>
    <row r="9" spans="1:1" x14ac:dyDescent="0.2">
      <c r="A9" s="25" t="s">
        <v>304</v>
      </c>
    </row>
    <row r="10" spans="1:1" x14ac:dyDescent="0.2">
      <c r="A10" s="25" t="s">
        <v>555</v>
      </c>
    </row>
    <row r="11" spans="1:1" x14ac:dyDescent="0.2">
      <c r="A11" s="25" t="s">
        <v>556</v>
      </c>
    </row>
    <row r="12" spans="1:1" x14ac:dyDescent="0.2">
      <c r="A12" s="25" t="s">
        <v>203</v>
      </c>
    </row>
    <row r="13" spans="1:1" x14ac:dyDescent="0.2">
      <c r="A13" s="25" t="s">
        <v>204</v>
      </c>
    </row>
    <row r="14" spans="1:1" x14ac:dyDescent="0.2">
      <c r="A14" s="25" t="s">
        <v>557</v>
      </c>
    </row>
    <row r="15" spans="1:1" x14ac:dyDescent="0.2">
      <c r="A15" s="25" t="s">
        <v>558</v>
      </c>
    </row>
    <row r="16" spans="1:1" x14ac:dyDescent="0.2">
      <c r="A16" s="25" t="s">
        <v>305</v>
      </c>
    </row>
    <row r="17" spans="1:1" x14ac:dyDescent="0.2">
      <c r="A17" s="25" t="s">
        <v>306</v>
      </c>
    </row>
    <row r="18" spans="1:1" x14ac:dyDescent="0.2">
      <c r="A18" s="25" t="s">
        <v>201</v>
      </c>
    </row>
    <row r="19" spans="1:1" x14ac:dyDescent="0.2">
      <c r="A19" s="25" t="s">
        <v>202</v>
      </c>
    </row>
  </sheetData>
  <hyperlinks>
    <hyperlink ref="A2" location="'STG CUST EMTK EBS SALES Tables'!A1" display="STG CUST EMTK EBS SALES Tables" xr:uid="{4F758A74-4787-314F-90DA-7D4E6A062774}"/>
    <hyperlink ref="A3" location="'STG CUST EMTK EBS SALES Columns'!A1" display="STG CUST EMTK EBS SALES Columns" xr:uid="{31F7F60D-C532-AF47-91DC-45C517D48388}"/>
    <hyperlink ref="A4" location="'STG CUSTOMER ML EBS Tables'!A1" display="STG CUSTOMER ML EBS Tables" xr:uid="{38E89CE1-07D5-204F-9402-6FE8AADD6873}"/>
    <hyperlink ref="A5" location="'STG CUSTOMER ML EBS Columns'!A1" display="STG CUSTOMER ML EBS Columns" xr:uid="{B99EB087-506D-464A-9EED-EA6F685784C2}"/>
    <hyperlink ref="A6" location="'STG CUSTOMER TT E21 Tables'!A1" display="STG CUSTOMER TT E21 Tables" xr:uid="{F7E8DFE3-39A6-5941-AD7C-2EC562733AB6}"/>
    <hyperlink ref="A7" location="'STG CUSTOMER TT E21 Columns'!A1" display="STG CUSTOMER TT E21 Columns" xr:uid="{2D3513E2-60F6-1E42-B980-B7F6B83B2795}"/>
    <hyperlink ref="A8" location="'STG SHIPMENT MOEN SAP Tables'!A1" display="STG SHIPMENT MOEN SAP Tables" xr:uid="{B7639062-4151-EF47-9418-FB6AC7D4F984}"/>
    <hyperlink ref="A9" location="'STG SHIPMENT MOEN SAP Columns'!A1" display="STG SHIPMENT MOEN SAP Columns" xr:uid="{87C0AECA-D156-0A46-BA1E-ADB833985922}"/>
    <hyperlink ref="A10" location="'STG SHP INPTS MOEN SAP Tables'!A1" display="STG SHP INPTS MOEN SAP Tables" xr:uid="{4B6F9F1A-A371-674B-873E-CB20D3E55453}"/>
    <hyperlink ref="A11" location="'STG SHP INPTS MOEN SAP Columns'!A1" display="STG SHP INPTS MOEN SAP Columns" xr:uid="{6EECCAE5-9258-7A4C-8B8D-9BA22FF0A4AC}"/>
    <hyperlink ref="A12" location="'HUB CUSTOMER Tables'!A1" display="HUB CUSTOMER Tables" xr:uid="{927F91B1-77DE-A843-87D3-9075E0301C43}"/>
    <hyperlink ref="A13" location="'HUB CUSTOMER Columns'!A1" display="HUB CUSTOMER Columns" xr:uid="{367DCD2F-C3D6-6741-947A-FA85CFE38A24}"/>
    <hyperlink ref="A14" location="'SAT CUS DTL EMT EBS Tables'!A1" display="SAT CUS DTL EMT EBS Tables" xr:uid="{0B0B8001-D1DD-FA44-9145-B885AF5A3C9F}"/>
    <hyperlink ref="A15" location="'SAT CUS DTL EMT EBS Columns'!A1" display="SAT CUS DTL EMT EBS Columns" xr:uid="{A5741170-7440-7347-8035-0491F6443D5E}"/>
    <hyperlink ref="A16" location="'SAT CUSTOMER ML EBS Tables'!A1" display="SAT CUSTOMER ML EBS Tables" xr:uid="{0E228E79-3A7E-8849-9D6E-C0382A90E150}"/>
    <hyperlink ref="A17" location="'SAT CUSTOMER ML EBS Columns'!A1" display="SAT CUSTOMER ML EBS Columns" xr:uid="{3370C133-B4D8-4A48-8891-0BBB27FF1C3A}"/>
    <hyperlink ref="A18" location="'Notes'!A1" display="Notes" xr:uid="{03F154E3-0132-B64E-9EC0-20960588EC5E}"/>
    <hyperlink ref="A19" location="'Sample SQL (optional)'!A1" display="Sample SQL (optional)" xr:uid="{C9F2946B-E89C-8B45-9D93-E24D70F7157F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6D1EC-4DEC-4B41-9471-4E47F9D49AE4}">
  <sheetPr codeName="Sheet2">
    <tabColor rgb="FF7030A0"/>
  </sheetPr>
  <dimension ref="A1:H34"/>
  <sheetViews>
    <sheetView workbookViewId="0">
      <selection activeCell="F36" sqref="F36"/>
    </sheetView>
  </sheetViews>
  <sheetFormatPr baseColWidth="10" defaultColWidth="8.83203125" defaultRowHeight="15" x14ac:dyDescent="0.2"/>
  <cols>
    <col min="1" max="1" width="15.33203125" bestFit="1" customWidth="1"/>
    <col min="2" max="2" width="15.33203125" customWidth="1"/>
    <col min="3" max="3" width="9.1640625"/>
    <col min="4" max="4" width="26.1640625" customWidth="1"/>
    <col min="5" max="5" width="9.1640625"/>
    <col min="6" max="6" width="21" customWidth="1"/>
    <col min="7" max="7" width="15.6640625" bestFit="1" customWidth="1"/>
    <col min="8" max="8" width="12.6640625" customWidth="1"/>
    <col min="12" max="12" width="24.6640625" bestFit="1" customWidth="1"/>
  </cols>
  <sheetData>
    <row r="1" spans="1:8" ht="4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111</v>
      </c>
      <c r="B2" t="s">
        <v>112</v>
      </c>
      <c r="C2" t="s">
        <v>114</v>
      </c>
      <c r="D2" t="s">
        <v>113</v>
      </c>
      <c r="E2">
        <v>1</v>
      </c>
    </row>
    <row r="3" spans="1:8" x14ac:dyDescent="0.2">
      <c r="B3" s="16"/>
    </row>
    <row r="4" spans="1:8" x14ac:dyDescent="0.2">
      <c r="B4" s="16"/>
    </row>
    <row r="5" spans="1:8" x14ac:dyDescent="0.2">
      <c r="B5" s="16"/>
    </row>
    <row r="6" spans="1:8" x14ac:dyDescent="0.2">
      <c r="B6" s="16"/>
    </row>
    <row r="7" spans="1:8" x14ac:dyDescent="0.2">
      <c r="B7" s="16"/>
      <c r="D7" s="1"/>
    </row>
    <row r="8" spans="1:8" x14ac:dyDescent="0.2">
      <c r="B8" s="16"/>
      <c r="D8" s="1"/>
    </row>
    <row r="9" spans="1:8" x14ac:dyDescent="0.2">
      <c r="B9" s="16"/>
      <c r="D9" s="1"/>
    </row>
    <row r="10" spans="1:8" x14ac:dyDescent="0.2">
      <c r="B10" s="16"/>
      <c r="D10" s="1"/>
    </row>
    <row r="11" spans="1:8" x14ac:dyDescent="0.2">
      <c r="B11" s="16"/>
      <c r="D11" s="1"/>
    </row>
    <row r="12" spans="1:8" x14ac:dyDescent="0.2">
      <c r="B12" s="16"/>
      <c r="D12" s="1"/>
    </row>
    <row r="13" spans="1:8" x14ac:dyDescent="0.2">
      <c r="B13" s="16"/>
      <c r="D13" s="1"/>
    </row>
    <row r="14" spans="1:8" x14ac:dyDescent="0.2">
      <c r="B14" s="16"/>
      <c r="D14" s="1"/>
    </row>
    <row r="15" spans="1:8" x14ac:dyDescent="0.2">
      <c r="B15" s="16"/>
      <c r="D15" s="1"/>
    </row>
    <row r="16" spans="1:8" x14ac:dyDescent="0.2">
      <c r="B16" s="16"/>
      <c r="D16" s="1"/>
    </row>
    <row r="17" spans="2:4" x14ac:dyDescent="0.2">
      <c r="B17" s="16"/>
      <c r="D17" s="1"/>
    </row>
    <row r="18" spans="2:4" x14ac:dyDescent="0.2">
      <c r="B18" s="16"/>
      <c r="D18" s="1"/>
    </row>
    <row r="19" spans="2:4" x14ac:dyDescent="0.2">
      <c r="B19" s="16"/>
      <c r="D19" s="1"/>
    </row>
    <row r="20" spans="2:4" x14ac:dyDescent="0.2">
      <c r="B20" s="16"/>
      <c r="D20" s="1"/>
    </row>
    <row r="21" spans="2:4" x14ac:dyDescent="0.2">
      <c r="B21" s="16"/>
      <c r="D21" s="1"/>
    </row>
    <row r="22" spans="2:4" x14ac:dyDescent="0.2">
      <c r="B22" s="16"/>
      <c r="D22" s="1"/>
    </row>
    <row r="23" spans="2:4" x14ac:dyDescent="0.2">
      <c r="B23" s="16"/>
      <c r="D23" s="1"/>
    </row>
    <row r="24" spans="2:4" x14ac:dyDescent="0.2">
      <c r="B24" s="16"/>
      <c r="D24" s="1"/>
    </row>
    <row r="25" spans="2:4" x14ac:dyDescent="0.2">
      <c r="B25" s="16"/>
      <c r="D25" s="1"/>
    </row>
    <row r="26" spans="2:4" x14ac:dyDescent="0.2">
      <c r="B26" s="16"/>
      <c r="D26" s="1"/>
    </row>
    <row r="27" spans="2:4" x14ac:dyDescent="0.2">
      <c r="B27" s="16"/>
      <c r="D27" s="1"/>
    </row>
    <row r="28" spans="2:4" x14ac:dyDescent="0.2">
      <c r="B28" s="16"/>
      <c r="D28" s="1"/>
    </row>
    <row r="29" spans="2:4" x14ac:dyDescent="0.2">
      <c r="B29" s="16"/>
      <c r="D29" s="1"/>
    </row>
    <row r="30" spans="2:4" x14ac:dyDescent="0.2">
      <c r="B30" s="16"/>
      <c r="D30" s="1"/>
    </row>
    <row r="31" spans="2:4" x14ac:dyDescent="0.2">
      <c r="B31" s="16"/>
      <c r="D31" s="1"/>
    </row>
    <row r="32" spans="2:4" x14ac:dyDescent="0.2">
      <c r="B32" s="16"/>
      <c r="D32" s="1"/>
    </row>
    <row r="33" spans="2:4" x14ac:dyDescent="0.2">
      <c r="B33" s="16"/>
      <c r="D33" s="1"/>
    </row>
    <row r="34" spans="2:4" x14ac:dyDescent="0.2">
      <c r="B34" s="16"/>
      <c r="D34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3595A-F721-4913-9AB1-155C62EA56B7}">
  <sheetPr codeName="Sheet3">
    <tabColor rgb="FF7030A0"/>
  </sheetPr>
  <dimension ref="A1:V153"/>
  <sheetViews>
    <sheetView topLeftCell="J1" zoomScale="110" zoomScaleNormal="110" workbookViewId="0">
      <pane ySplit="1" topLeftCell="A52" activePane="bottomLeft" state="frozen"/>
      <selection sqref="A1:H2"/>
      <selection pane="bottomLeft" activeCell="K149" sqref="K149"/>
    </sheetView>
  </sheetViews>
  <sheetFormatPr baseColWidth="10" defaultColWidth="8.83203125" defaultRowHeight="15" x14ac:dyDescent="0.2"/>
  <cols>
    <col min="1" max="1" width="15.33203125" style="24" bestFit="1" customWidth="1"/>
    <col min="2" max="2" width="13.5" style="24" bestFit="1" customWidth="1"/>
    <col min="3" max="3" width="33" customWidth="1"/>
    <col min="4" max="4" width="13.6640625" bestFit="1" customWidth="1"/>
    <col min="5" max="5" width="16.83203125" bestFit="1" customWidth="1"/>
    <col min="6" max="6" width="24.33203125" bestFit="1" customWidth="1"/>
    <col min="7" max="7" width="26" bestFit="1" customWidth="1"/>
    <col min="8" max="8" width="9" bestFit="1" customWidth="1"/>
    <col min="9" max="9" width="33.1640625" customWidth="1"/>
    <col min="10" max="10" width="21.1640625" bestFit="1" customWidth="1"/>
    <col min="11" max="11" width="22.5" customWidth="1"/>
    <col min="12" max="12" width="19.5" bestFit="1" customWidth="1"/>
    <col min="13" max="13" width="10" bestFit="1" customWidth="1"/>
    <col min="14" max="15" width="10" customWidth="1"/>
    <col min="16" max="16" width="30.33203125" bestFit="1" customWidth="1"/>
    <col min="17" max="17" width="40.83203125" customWidth="1"/>
    <col min="18" max="18" width="16.33203125" bestFit="1" customWidth="1"/>
    <col min="19" max="19" width="12.1640625" bestFit="1" customWidth="1"/>
    <col min="20" max="20" width="15.33203125" bestFit="1" customWidth="1"/>
    <col min="21" max="21" width="16.6640625" bestFit="1" customWidth="1"/>
    <col min="22" max="22" width="67.1640625" bestFit="1" customWidth="1"/>
  </cols>
  <sheetData>
    <row r="1" spans="1:22" ht="16" x14ac:dyDescent="0.2">
      <c r="A1" s="24" t="s">
        <v>0</v>
      </c>
      <c r="B1" s="24" t="s">
        <v>1</v>
      </c>
      <c r="C1" s="11" t="s">
        <v>9</v>
      </c>
      <c r="D1" s="11" t="s">
        <v>10</v>
      </c>
      <c r="E1" s="11" t="s">
        <v>11</v>
      </c>
      <c r="F1" s="11" t="s">
        <v>12</v>
      </c>
      <c r="G1" s="11" t="s">
        <v>13</v>
      </c>
      <c r="H1" s="11" t="s">
        <v>14</v>
      </c>
      <c r="I1" s="11" t="s">
        <v>15</v>
      </c>
      <c r="J1" s="11" t="s">
        <v>16</v>
      </c>
      <c r="K1" s="56" t="s">
        <v>559</v>
      </c>
      <c r="L1" s="11" t="s">
        <v>17</v>
      </c>
      <c r="M1" s="11" t="s">
        <v>18</v>
      </c>
      <c r="N1" s="11" t="s">
        <v>106</v>
      </c>
      <c r="O1" s="57" t="s">
        <v>196</v>
      </c>
      <c r="P1" s="1" t="s">
        <v>515</v>
      </c>
      <c r="Q1" s="1" t="s">
        <v>514</v>
      </c>
      <c r="R1" s="11" t="s">
        <v>19</v>
      </c>
      <c r="S1" s="11" t="s">
        <v>20</v>
      </c>
      <c r="T1" s="11" t="s">
        <v>21</v>
      </c>
      <c r="U1" s="11" t="s">
        <v>22</v>
      </c>
      <c r="V1" s="11" t="s">
        <v>197</v>
      </c>
    </row>
    <row r="2" spans="1:22" ht="176" x14ac:dyDescent="0.2">
      <c r="A2" s="14" t="s">
        <v>111</v>
      </c>
      <c r="B2" s="14" t="s">
        <v>114</v>
      </c>
      <c r="C2" s="14" t="s">
        <v>23</v>
      </c>
      <c r="D2" s="58"/>
      <c r="E2" s="59"/>
      <c r="F2" s="14" t="s">
        <v>117</v>
      </c>
      <c r="G2" s="28"/>
      <c r="H2" s="4">
        <v>1</v>
      </c>
      <c r="I2" s="4" t="s">
        <v>208</v>
      </c>
      <c r="J2" s="3" t="s">
        <v>25</v>
      </c>
      <c r="K2" s="4" t="s">
        <v>560</v>
      </c>
      <c r="L2" s="4" t="s">
        <v>524</v>
      </c>
      <c r="M2" s="3" t="s">
        <v>26</v>
      </c>
      <c r="N2" s="33"/>
      <c r="O2" s="33"/>
      <c r="P2" s="1" t="s">
        <v>528</v>
      </c>
      <c r="Q2" s="1" t="s">
        <v>534</v>
      </c>
      <c r="R2" s="3"/>
      <c r="S2" s="3"/>
      <c r="T2" s="3"/>
      <c r="U2" s="3"/>
      <c r="V2" s="3" t="s">
        <v>198</v>
      </c>
    </row>
    <row r="3" spans="1:22" ht="16" x14ac:dyDescent="0.2">
      <c r="A3" s="24" t="s">
        <v>111</v>
      </c>
      <c r="B3" s="24" t="s">
        <v>114</v>
      </c>
      <c r="C3" s="24" t="s">
        <v>117</v>
      </c>
      <c r="D3" t="s">
        <v>25</v>
      </c>
      <c r="E3" s="2"/>
      <c r="F3" s="2"/>
      <c r="G3" s="28"/>
      <c r="H3" s="5">
        <v>2</v>
      </c>
      <c r="I3" s="24" t="s">
        <v>117</v>
      </c>
      <c r="J3" t="s">
        <v>25</v>
      </c>
      <c r="L3" s="2"/>
      <c r="M3" s="2" t="s">
        <v>26</v>
      </c>
      <c r="N3" s="2" t="s">
        <v>107</v>
      </c>
      <c r="O3" s="2" t="s">
        <v>542</v>
      </c>
      <c r="P3" s="2"/>
      <c r="Q3" s="2" t="s">
        <v>536</v>
      </c>
      <c r="R3" s="2"/>
      <c r="S3" s="2"/>
      <c r="T3" s="2"/>
      <c r="U3" s="2"/>
    </row>
    <row r="4" spans="1:22" ht="16" x14ac:dyDescent="0.2">
      <c r="A4" s="24" t="s">
        <v>111</v>
      </c>
      <c r="B4" s="24" t="s">
        <v>114</v>
      </c>
      <c r="C4" s="24" t="s">
        <v>115</v>
      </c>
      <c r="D4" t="s">
        <v>195</v>
      </c>
      <c r="E4" s="3"/>
      <c r="F4" s="3"/>
      <c r="G4" s="28"/>
      <c r="H4" s="5">
        <v>3</v>
      </c>
      <c r="I4" s="24" t="s">
        <v>115</v>
      </c>
      <c r="J4" t="s">
        <v>195</v>
      </c>
      <c r="L4" s="2"/>
      <c r="M4" s="2"/>
      <c r="N4" s="2" t="s">
        <v>107</v>
      </c>
      <c r="O4" s="2"/>
      <c r="P4" s="2"/>
      <c r="Q4" s="2"/>
      <c r="R4" s="2"/>
      <c r="S4" s="2"/>
      <c r="T4" s="2"/>
      <c r="U4" s="2"/>
      <c r="V4" s="2"/>
    </row>
    <row r="5" spans="1:22" ht="16" x14ac:dyDescent="0.2">
      <c r="A5" s="24" t="s">
        <v>111</v>
      </c>
      <c r="B5" s="24" t="s">
        <v>114</v>
      </c>
      <c r="C5" s="24" t="s">
        <v>116</v>
      </c>
      <c r="D5" t="s">
        <v>195</v>
      </c>
      <c r="E5" s="2"/>
      <c r="F5" s="2"/>
      <c r="G5" s="28"/>
      <c r="H5" s="4">
        <v>4</v>
      </c>
      <c r="I5" s="24" t="s">
        <v>116</v>
      </c>
      <c r="J5" t="s">
        <v>195</v>
      </c>
      <c r="L5" s="2"/>
      <c r="M5" s="2"/>
      <c r="N5" s="2" t="s">
        <v>107</v>
      </c>
      <c r="O5" s="2"/>
      <c r="P5" s="2"/>
      <c r="Q5" s="2"/>
      <c r="R5" s="2"/>
      <c r="S5" s="2"/>
      <c r="T5" s="2"/>
      <c r="U5" s="2"/>
    </row>
    <row r="6" spans="1:22" ht="16" x14ac:dyDescent="0.2">
      <c r="A6" s="24" t="s">
        <v>111</v>
      </c>
      <c r="B6" s="24" t="s">
        <v>114</v>
      </c>
      <c r="C6" s="24" t="s">
        <v>160</v>
      </c>
      <c r="D6" t="s">
        <v>25</v>
      </c>
      <c r="E6" s="3"/>
      <c r="F6" s="3"/>
      <c r="G6" s="28"/>
      <c r="H6" s="5">
        <v>5</v>
      </c>
      <c r="I6" s="24" t="s">
        <v>160</v>
      </c>
      <c r="J6" t="s">
        <v>25</v>
      </c>
      <c r="L6" s="2"/>
      <c r="M6" s="2"/>
      <c r="N6" s="2" t="s">
        <v>107</v>
      </c>
      <c r="O6" s="2"/>
      <c r="P6" s="2"/>
      <c r="Q6" s="2"/>
      <c r="R6" s="2"/>
      <c r="S6" s="2"/>
      <c r="T6" s="2"/>
      <c r="U6" s="2"/>
    </row>
    <row r="7" spans="1:22" ht="16" x14ac:dyDescent="0.2">
      <c r="A7" s="24" t="s">
        <v>111</v>
      </c>
      <c r="B7" s="24" t="s">
        <v>114</v>
      </c>
      <c r="C7" s="24" t="s">
        <v>143</v>
      </c>
      <c r="D7" t="s">
        <v>28</v>
      </c>
      <c r="E7" s="2"/>
      <c r="F7" s="2"/>
      <c r="G7" s="28"/>
      <c r="H7" s="5">
        <v>6</v>
      </c>
      <c r="I7" s="24" t="s">
        <v>143</v>
      </c>
      <c r="J7" t="s">
        <v>28</v>
      </c>
      <c r="L7" s="2"/>
      <c r="M7" s="2"/>
      <c r="N7" s="2" t="s">
        <v>107</v>
      </c>
      <c r="O7" s="2"/>
      <c r="P7" s="2"/>
      <c r="Q7" s="2"/>
      <c r="R7" s="2"/>
      <c r="S7" s="2"/>
      <c r="T7" s="2"/>
      <c r="U7" s="2"/>
    </row>
    <row r="8" spans="1:22" ht="16" x14ac:dyDescent="0.2">
      <c r="A8" s="24" t="s">
        <v>111</v>
      </c>
      <c r="B8" s="24" t="s">
        <v>114</v>
      </c>
      <c r="C8" s="24" t="s">
        <v>141</v>
      </c>
      <c r="D8" t="s">
        <v>28</v>
      </c>
      <c r="E8" s="3"/>
      <c r="F8" s="3"/>
      <c r="G8" s="28"/>
      <c r="H8" s="4">
        <v>7</v>
      </c>
      <c r="I8" s="24" t="s">
        <v>141</v>
      </c>
      <c r="J8" t="s">
        <v>28</v>
      </c>
      <c r="L8" s="3"/>
      <c r="M8" s="3"/>
      <c r="N8" s="2" t="s">
        <v>107</v>
      </c>
      <c r="O8" s="3"/>
      <c r="P8" s="3"/>
      <c r="Q8" s="3"/>
      <c r="R8" s="3"/>
      <c r="S8" s="28"/>
      <c r="T8" s="3"/>
      <c r="U8" s="3"/>
    </row>
    <row r="9" spans="1:22" ht="16" x14ac:dyDescent="0.2">
      <c r="A9" s="24" t="s">
        <v>111</v>
      </c>
      <c r="B9" s="24" t="s">
        <v>114</v>
      </c>
      <c r="C9" s="24" t="s">
        <v>136</v>
      </c>
      <c r="D9" t="s">
        <v>25</v>
      </c>
      <c r="E9" s="2"/>
      <c r="F9" s="2"/>
      <c r="G9" s="28"/>
      <c r="H9" s="5">
        <v>8</v>
      </c>
      <c r="I9" s="24" t="s">
        <v>136</v>
      </c>
      <c r="J9" t="s">
        <v>25</v>
      </c>
      <c r="L9" s="2"/>
      <c r="M9" s="2"/>
      <c r="N9" s="2" t="s">
        <v>107</v>
      </c>
      <c r="O9" s="2"/>
      <c r="P9" s="2"/>
      <c r="Q9" s="2"/>
      <c r="R9" s="2"/>
      <c r="S9" s="28"/>
      <c r="T9" s="2"/>
      <c r="U9" s="2"/>
    </row>
    <row r="10" spans="1:22" ht="16" x14ac:dyDescent="0.2">
      <c r="A10" s="24" t="s">
        <v>111</v>
      </c>
      <c r="B10" s="24" t="s">
        <v>114</v>
      </c>
      <c r="C10" s="24" t="s">
        <v>181</v>
      </c>
      <c r="D10" t="s">
        <v>195</v>
      </c>
      <c r="E10" s="3"/>
      <c r="F10" s="3"/>
      <c r="G10" s="28"/>
      <c r="H10" s="5">
        <v>9</v>
      </c>
      <c r="I10" s="24" t="s">
        <v>181</v>
      </c>
      <c r="J10" t="s">
        <v>195</v>
      </c>
      <c r="L10" s="3"/>
      <c r="M10" s="3"/>
      <c r="N10" s="2" t="s">
        <v>107</v>
      </c>
      <c r="O10" s="3"/>
      <c r="P10" s="3"/>
      <c r="Q10" s="3"/>
      <c r="R10" s="3"/>
      <c r="S10" s="28"/>
      <c r="T10" s="3"/>
      <c r="U10" s="3"/>
    </row>
    <row r="11" spans="1:22" ht="16" x14ac:dyDescent="0.2">
      <c r="A11" s="24" t="s">
        <v>111</v>
      </c>
      <c r="B11" s="24" t="s">
        <v>114</v>
      </c>
      <c r="C11" s="24" t="s">
        <v>142</v>
      </c>
      <c r="D11" t="s">
        <v>28</v>
      </c>
      <c r="E11" s="2"/>
      <c r="F11" s="2"/>
      <c r="G11" s="28"/>
      <c r="H11" s="4">
        <v>10</v>
      </c>
      <c r="I11" s="24" t="s">
        <v>142</v>
      </c>
      <c r="J11" t="s">
        <v>28</v>
      </c>
      <c r="L11" s="2"/>
      <c r="M11" s="2"/>
      <c r="N11" s="2" t="s">
        <v>107</v>
      </c>
      <c r="O11" s="2"/>
      <c r="P11" s="2"/>
      <c r="Q11" s="2"/>
      <c r="R11" s="2"/>
      <c r="S11" s="28"/>
      <c r="T11" s="2"/>
      <c r="U11" s="2"/>
    </row>
    <row r="12" spans="1:22" ht="16" x14ac:dyDescent="0.2">
      <c r="A12" s="24" t="s">
        <v>111</v>
      </c>
      <c r="B12" s="24" t="s">
        <v>114</v>
      </c>
      <c r="C12" s="24" t="s">
        <v>159</v>
      </c>
      <c r="D12" t="s">
        <v>25</v>
      </c>
      <c r="E12" s="3"/>
      <c r="F12" s="3"/>
      <c r="G12" s="28"/>
      <c r="H12" s="5">
        <v>11</v>
      </c>
      <c r="I12" s="24" t="s">
        <v>159</v>
      </c>
      <c r="J12" t="s">
        <v>25</v>
      </c>
      <c r="L12" s="3"/>
      <c r="M12" s="3"/>
      <c r="N12" s="2" t="s">
        <v>107</v>
      </c>
      <c r="O12" s="3"/>
      <c r="P12" s="3"/>
      <c r="Q12" s="3"/>
      <c r="R12" s="3"/>
      <c r="S12" s="28"/>
      <c r="T12" s="3"/>
      <c r="U12" s="3"/>
    </row>
    <row r="13" spans="1:22" ht="16" x14ac:dyDescent="0.2">
      <c r="A13" s="24" t="s">
        <v>111</v>
      </c>
      <c r="B13" s="24" t="s">
        <v>114</v>
      </c>
      <c r="C13" s="24" t="s">
        <v>188</v>
      </c>
      <c r="D13" t="s">
        <v>32</v>
      </c>
      <c r="E13" s="2"/>
      <c r="G13" s="28"/>
      <c r="H13" s="5">
        <v>12</v>
      </c>
      <c r="I13" s="24" t="s">
        <v>188</v>
      </c>
      <c r="J13" t="s">
        <v>32</v>
      </c>
      <c r="L13" s="2"/>
      <c r="M13" s="2"/>
      <c r="N13" s="2" t="s">
        <v>107</v>
      </c>
      <c r="O13" s="2"/>
      <c r="P13" s="2"/>
      <c r="Q13" s="2"/>
      <c r="R13" s="2"/>
      <c r="S13" s="28"/>
      <c r="T13" s="2"/>
      <c r="U13" s="2"/>
    </row>
    <row r="14" spans="1:22" ht="16" x14ac:dyDescent="0.2">
      <c r="A14" s="24" t="s">
        <v>111</v>
      </c>
      <c r="B14" s="24" t="s">
        <v>114</v>
      </c>
      <c r="C14" s="24" t="s">
        <v>193</v>
      </c>
      <c r="D14" t="s">
        <v>25</v>
      </c>
      <c r="E14" s="6"/>
      <c r="F14" s="3"/>
      <c r="G14" s="28"/>
      <c r="H14" s="4">
        <v>13</v>
      </c>
      <c r="I14" s="24" t="s">
        <v>193</v>
      </c>
      <c r="J14" t="s">
        <v>25</v>
      </c>
      <c r="L14" s="3"/>
      <c r="M14" s="3"/>
      <c r="N14" s="2" t="s">
        <v>107</v>
      </c>
      <c r="O14" s="3"/>
      <c r="P14" s="3"/>
      <c r="Q14" s="3"/>
      <c r="R14" s="3"/>
      <c r="S14" s="28"/>
      <c r="T14" s="3"/>
      <c r="U14" s="3"/>
    </row>
    <row r="15" spans="1:22" ht="16" x14ac:dyDescent="0.2">
      <c r="A15" s="24" t="s">
        <v>111</v>
      </c>
      <c r="B15" s="24" t="s">
        <v>114</v>
      </c>
      <c r="C15" s="24" t="s">
        <v>177</v>
      </c>
      <c r="D15" t="s">
        <v>25</v>
      </c>
      <c r="G15" s="28"/>
      <c r="H15" s="5">
        <v>14</v>
      </c>
      <c r="I15" s="24" t="s">
        <v>177</v>
      </c>
      <c r="J15" t="s">
        <v>25</v>
      </c>
      <c r="N15" s="2" t="s">
        <v>107</v>
      </c>
      <c r="S15" s="28"/>
    </row>
    <row r="16" spans="1:22" ht="16" x14ac:dyDescent="0.2">
      <c r="A16" s="24" t="s">
        <v>111</v>
      </c>
      <c r="B16" s="24" t="s">
        <v>114</v>
      </c>
      <c r="C16" s="24" t="s">
        <v>183</v>
      </c>
      <c r="D16" t="s">
        <v>25</v>
      </c>
      <c r="G16" s="28"/>
      <c r="H16" s="5">
        <v>15</v>
      </c>
      <c r="I16" s="24" t="s">
        <v>183</v>
      </c>
      <c r="J16" t="s">
        <v>25</v>
      </c>
      <c r="N16" s="2" t="s">
        <v>107</v>
      </c>
      <c r="S16" s="28"/>
    </row>
    <row r="17" spans="1:19" ht="16" x14ac:dyDescent="0.2">
      <c r="A17" s="24" t="s">
        <v>111</v>
      </c>
      <c r="B17" s="24" t="s">
        <v>114</v>
      </c>
      <c r="C17" s="24" t="s">
        <v>194</v>
      </c>
      <c r="D17" t="s">
        <v>25</v>
      </c>
      <c r="G17" s="28"/>
      <c r="H17" s="4">
        <v>16</v>
      </c>
      <c r="I17" s="24" t="s">
        <v>194</v>
      </c>
      <c r="J17" t="s">
        <v>25</v>
      </c>
      <c r="N17" s="2" t="s">
        <v>107</v>
      </c>
      <c r="S17" s="28"/>
    </row>
    <row r="18" spans="1:19" ht="16" x14ac:dyDescent="0.2">
      <c r="A18" s="24" t="s">
        <v>111</v>
      </c>
      <c r="B18" s="24" t="s">
        <v>114</v>
      </c>
      <c r="C18" s="24" t="s">
        <v>171</v>
      </c>
      <c r="D18" t="s">
        <v>25</v>
      </c>
      <c r="G18" s="28"/>
      <c r="H18" s="5">
        <v>17</v>
      </c>
      <c r="I18" s="24" t="s">
        <v>171</v>
      </c>
      <c r="J18" t="s">
        <v>25</v>
      </c>
      <c r="N18" s="2" t="s">
        <v>107</v>
      </c>
      <c r="S18" s="28"/>
    </row>
    <row r="19" spans="1:19" ht="16" x14ac:dyDescent="0.2">
      <c r="A19" s="24" t="s">
        <v>111</v>
      </c>
      <c r="B19" s="24" t="s">
        <v>114</v>
      </c>
      <c r="C19" s="24" t="s">
        <v>170</v>
      </c>
      <c r="D19" t="s">
        <v>25</v>
      </c>
      <c r="G19" s="28"/>
      <c r="H19" s="5">
        <v>18</v>
      </c>
      <c r="I19" s="24" t="s">
        <v>170</v>
      </c>
      <c r="J19" t="s">
        <v>25</v>
      </c>
      <c r="N19" s="2" t="s">
        <v>107</v>
      </c>
      <c r="S19" s="28"/>
    </row>
    <row r="20" spans="1:19" ht="16" x14ac:dyDescent="0.2">
      <c r="A20" s="24" t="s">
        <v>111</v>
      </c>
      <c r="B20" s="24" t="s">
        <v>114</v>
      </c>
      <c r="C20" s="24" t="s">
        <v>135</v>
      </c>
      <c r="D20" t="s">
        <v>25</v>
      </c>
      <c r="G20" s="28"/>
      <c r="H20" s="4">
        <v>19</v>
      </c>
      <c r="I20" s="24" t="s">
        <v>135</v>
      </c>
      <c r="J20" t="s">
        <v>25</v>
      </c>
      <c r="N20" s="2" t="s">
        <v>107</v>
      </c>
      <c r="S20" s="28"/>
    </row>
    <row r="21" spans="1:19" ht="16" x14ac:dyDescent="0.2">
      <c r="A21" s="24" t="s">
        <v>111</v>
      </c>
      <c r="B21" s="24" t="s">
        <v>114</v>
      </c>
      <c r="C21" s="24" t="s">
        <v>144</v>
      </c>
      <c r="D21" t="s">
        <v>25</v>
      </c>
      <c r="G21" s="28"/>
      <c r="H21" s="5">
        <v>20</v>
      </c>
      <c r="I21" s="24" t="s">
        <v>144</v>
      </c>
      <c r="J21" t="s">
        <v>25</v>
      </c>
      <c r="N21" s="2" t="s">
        <v>107</v>
      </c>
      <c r="S21" s="28"/>
    </row>
    <row r="22" spans="1:19" ht="16" x14ac:dyDescent="0.2">
      <c r="A22" s="24" t="s">
        <v>111</v>
      </c>
      <c r="B22" s="24" t="s">
        <v>114</v>
      </c>
      <c r="C22" s="24" t="s">
        <v>138</v>
      </c>
      <c r="D22" t="s">
        <v>32</v>
      </c>
      <c r="G22" s="28"/>
      <c r="H22" s="5">
        <v>21</v>
      </c>
      <c r="I22" s="24" t="s">
        <v>138</v>
      </c>
      <c r="J22" t="s">
        <v>32</v>
      </c>
      <c r="N22" s="2" t="s">
        <v>107</v>
      </c>
      <c r="S22" s="28"/>
    </row>
    <row r="23" spans="1:19" ht="16" x14ac:dyDescent="0.2">
      <c r="A23" s="24" t="s">
        <v>111</v>
      </c>
      <c r="B23" s="24" t="s">
        <v>114</v>
      </c>
      <c r="C23" s="24" t="s">
        <v>121</v>
      </c>
      <c r="D23" t="s">
        <v>25</v>
      </c>
      <c r="G23" s="28"/>
      <c r="H23" s="4">
        <v>22</v>
      </c>
      <c r="I23" s="24" t="s">
        <v>121</v>
      </c>
      <c r="J23" t="s">
        <v>25</v>
      </c>
      <c r="N23" s="2" t="s">
        <v>107</v>
      </c>
      <c r="S23" s="28"/>
    </row>
    <row r="24" spans="1:19" ht="16" x14ac:dyDescent="0.2">
      <c r="A24" s="24" t="s">
        <v>111</v>
      </c>
      <c r="B24" s="24" t="s">
        <v>114</v>
      </c>
      <c r="C24" s="24" t="s">
        <v>120</v>
      </c>
      <c r="D24" t="s">
        <v>25</v>
      </c>
      <c r="G24" s="28"/>
      <c r="H24" s="5">
        <v>23</v>
      </c>
      <c r="I24" s="24" t="s">
        <v>120</v>
      </c>
      <c r="J24" t="s">
        <v>25</v>
      </c>
      <c r="N24" s="2" t="s">
        <v>107</v>
      </c>
      <c r="S24" s="28"/>
    </row>
    <row r="25" spans="1:19" ht="16" x14ac:dyDescent="0.2">
      <c r="A25" s="24" t="s">
        <v>111</v>
      </c>
      <c r="B25" s="24" t="s">
        <v>114</v>
      </c>
      <c r="C25" s="24" t="s">
        <v>174</v>
      </c>
      <c r="D25" t="s">
        <v>25</v>
      </c>
      <c r="G25" s="28"/>
      <c r="H25" s="5">
        <v>24</v>
      </c>
      <c r="I25" s="24" t="s">
        <v>174</v>
      </c>
      <c r="J25" t="s">
        <v>25</v>
      </c>
      <c r="N25" s="2" t="s">
        <v>107</v>
      </c>
      <c r="S25" s="28"/>
    </row>
    <row r="26" spans="1:19" ht="16" x14ac:dyDescent="0.2">
      <c r="A26" s="24" t="s">
        <v>111</v>
      </c>
      <c r="B26" s="24" t="s">
        <v>114</v>
      </c>
      <c r="C26" s="24" t="s">
        <v>172</v>
      </c>
      <c r="D26" t="s">
        <v>32</v>
      </c>
      <c r="G26" s="28"/>
      <c r="H26" s="4">
        <v>25</v>
      </c>
      <c r="I26" s="24" t="s">
        <v>172</v>
      </c>
      <c r="J26" t="s">
        <v>32</v>
      </c>
      <c r="N26" s="2" t="s">
        <v>107</v>
      </c>
      <c r="S26" s="28"/>
    </row>
    <row r="27" spans="1:19" ht="16" x14ac:dyDescent="0.2">
      <c r="A27" s="24" t="s">
        <v>111</v>
      </c>
      <c r="B27" s="24" t="s">
        <v>114</v>
      </c>
      <c r="C27" s="24" t="s">
        <v>173</v>
      </c>
      <c r="D27" t="s">
        <v>32</v>
      </c>
      <c r="G27" s="28"/>
      <c r="H27" s="5">
        <v>26</v>
      </c>
      <c r="I27" s="24" t="s">
        <v>173</v>
      </c>
      <c r="J27" t="s">
        <v>32</v>
      </c>
      <c r="N27" s="2" t="s">
        <v>107</v>
      </c>
      <c r="S27" s="28"/>
    </row>
    <row r="28" spans="1:19" ht="16" x14ac:dyDescent="0.2">
      <c r="A28" s="24" t="s">
        <v>111</v>
      </c>
      <c r="B28" s="24" t="s">
        <v>114</v>
      </c>
      <c r="C28" s="24" t="s">
        <v>145</v>
      </c>
      <c r="D28" t="s">
        <v>25</v>
      </c>
      <c r="G28" s="28"/>
      <c r="H28" s="5">
        <v>27</v>
      </c>
      <c r="I28" s="24" t="s">
        <v>145</v>
      </c>
      <c r="J28" t="s">
        <v>25</v>
      </c>
      <c r="N28" s="2" t="s">
        <v>107</v>
      </c>
      <c r="S28" s="28"/>
    </row>
    <row r="29" spans="1:19" ht="16" x14ac:dyDescent="0.2">
      <c r="A29" s="24" t="s">
        <v>111</v>
      </c>
      <c r="B29" s="24" t="s">
        <v>114</v>
      </c>
      <c r="C29" s="24" t="s">
        <v>161</v>
      </c>
      <c r="D29" t="s">
        <v>25</v>
      </c>
      <c r="G29" s="28"/>
      <c r="H29" s="4">
        <v>28</v>
      </c>
      <c r="I29" s="24" t="s">
        <v>161</v>
      </c>
      <c r="J29" t="s">
        <v>25</v>
      </c>
      <c r="N29" s="2" t="s">
        <v>107</v>
      </c>
      <c r="S29" s="28"/>
    </row>
    <row r="30" spans="1:19" ht="16" x14ac:dyDescent="0.2">
      <c r="A30" s="24" t="s">
        <v>111</v>
      </c>
      <c r="B30" s="24" t="s">
        <v>114</v>
      </c>
      <c r="C30" s="24" t="s">
        <v>162</v>
      </c>
      <c r="D30" t="s">
        <v>25</v>
      </c>
      <c r="G30" s="28"/>
      <c r="H30" s="5">
        <v>29</v>
      </c>
      <c r="I30" s="24" t="s">
        <v>162</v>
      </c>
      <c r="J30" t="s">
        <v>25</v>
      </c>
      <c r="N30" s="2" t="s">
        <v>107</v>
      </c>
      <c r="S30" s="28"/>
    </row>
    <row r="31" spans="1:19" ht="16" x14ac:dyDescent="0.2">
      <c r="A31" s="24" t="s">
        <v>111</v>
      </c>
      <c r="B31" s="24" t="s">
        <v>114</v>
      </c>
      <c r="C31" s="24" t="s">
        <v>192</v>
      </c>
      <c r="D31" t="s">
        <v>25</v>
      </c>
      <c r="G31" s="28"/>
      <c r="H31" s="5">
        <v>30</v>
      </c>
      <c r="I31" s="24" t="s">
        <v>192</v>
      </c>
      <c r="J31" t="s">
        <v>25</v>
      </c>
      <c r="N31" s="2" t="s">
        <v>107</v>
      </c>
      <c r="S31" s="28"/>
    </row>
    <row r="32" spans="1:19" ht="16" x14ac:dyDescent="0.2">
      <c r="A32" s="24" t="s">
        <v>111</v>
      </c>
      <c r="B32" s="24" t="s">
        <v>114</v>
      </c>
      <c r="C32" s="24" t="s">
        <v>190</v>
      </c>
      <c r="D32" t="s">
        <v>25</v>
      </c>
      <c r="G32" s="28"/>
      <c r="H32" s="4">
        <v>31</v>
      </c>
      <c r="I32" s="24" t="s">
        <v>190</v>
      </c>
      <c r="J32" t="s">
        <v>25</v>
      </c>
      <c r="N32" s="2" t="s">
        <v>107</v>
      </c>
      <c r="S32" s="28"/>
    </row>
    <row r="33" spans="1:19" ht="16" x14ac:dyDescent="0.2">
      <c r="A33" s="24" t="s">
        <v>111</v>
      </c>
      <c r="B33" s="24" t="s">
        <v>114</v>
      </c>
      <c r="C33" s="24" t="s">
        <v>127</v>
      </c>
      <c r="D33" t="s">
        <v>25</v>
      </c>
      <c r="G33" s="28"/>
      <c r="H33" s="5">
        <v>32</v>
      </c>
      <c r="I33" s="24" t="s">
        <v>127</v>
      </c>
      <c r="J33" t="s">
        <v>25</v>
      </c>
      <c r="N33" s="2" t="s">
        <v>107</v>
      </c>
      <c r="S33" s="28"/>
    </row>
    <row r="34" spans="1:19" ht="16" x14ac:dyDescent="0.2">
      <c r="A34" s="24" t="s">
        <v>111</v>
      </c>
      <c r="B34" s="24" t="s">
        <v>114</v>
      </c>
      <c r="C34" s="24" t="s">
        <v>128</v>
      </c>
      <c r="D34" t="s">
        <v>25</v>
      </c>
      <c r="G34" s="28"/>
      <c r="H34" s="5">
        <v>33</v>
      </c>
      <c r="I34" s="24" t="s">
        <v>128</v>
      </c>
      <c r="J34" t="s">
        <v>25</v>
      </c>
      <c r="N34" s="2" t="s">
        <v>107</v>
      </c>
      <c r="S34" s="28"/>
    </row>
    <row r="35" spans="1:19" ht="16" x14ac:dyDescent="0.2">
      <c r="A35" s="24" t="s">
        <v>111</v>
      </c>
      <c r="B35" s="24" t="s">
        <v>114</v>
      </c>
      <c r="C35" s="24" t="s">
        <v>158</v>
      </c>
      <c r="D35" t="s">
        <v>25</v>
      </c>
      <c r="G35" s="28"/>
      <c r="H35" s="4">
        <v>34</v>
      </c>
      <c r="I35" s="24" t="s">
        <v>158</v>
      </c>
      <c r="J35" t="s">
        <v>25</v>
      </c>
      <c r="N35" s="2" t="s">
        <v>107</v>
      </c>
      <c r="S35" s="28"/>
    </row>
    <row r="36" spans="1:19" ht="16" x14ac:dyDescent="0.2">
      <c r="A36" s="24" t="s">
        <v>111</v>
      </c>
      <c r="B36" s="24" t="s">
        <v>114</v>
      </c>
      <c r="C36" s="24" t="s">
        <v>149</v>
      </c>
      <c r="D36" t="s">
        <v>28</v>
      </c>
      <c r="G36" s="28"/>
      <c r="H36" s="5">
        <v>35</v>
      </c>
      <c r="I36" s="24" t="s">
        <v>149</v>
      </c>
      <c r="J36" t="s">
        <v>28</v>
      </c>
      <c r="N36" s="2" t="s">
        <v>107</v>
      </c>
      <c r="S36" s="28"/>
    </row>
    <row r="37" spans="1:19" ht="16" x14ac:dyDescent="0.2">
      <c r="A37" s="24" t="s">
        <v>111</v>
      </c>
      <c r="B37" s="24" t="s">
        <v>114</v>
      </c>
      <c r="C37" s="24" t="s">
        <v>140</v>
      </c>
      <c r="D37" t="s">
        <v>25</v>
      </c>
      <c r="G37" s="28"/>
      <c r="H37" s="5">
        <v>36</v>
      </c>
      <c r="I37" s="24" t="s">
        <v>140</v>
      </c>
      <c r="J37" t="s">
        <v>25</v>
      </c>
      <c r="N37" s="2" t="s">
        <v>107</v>
      </c>
      <c r="S37" s="28"/>
    </row>
    <row r="38" spans="1:19" ht="16" x14ac:dyDescent="0.2">
      <c r="A38" s="24" t="s">
        <v>111</v>
      </c>
      <c r="B38" s="24" t="s">
        <v>114</v>
      </c>
      <c r="C38" s="24" t="s">
        <v>151</v>
      </c>
      <c r="D38" t="s">
        <v>25</v>
      </c>
      <c r="G38" s="28"/>
      <c r="H38" s="4">
        <v>37</v>
      </c>
      <c r="I38" s="24" t="s">
        <v>151</v>
      </c>
      <c r="J38" t="s">
        <v>25</v>
      </c>
      <c r="N38" s="2" t="s">
        <v>107</v>
      </c>
      <c r="S38" s="28"/>
    </row>
    <row r="39" spans="1:19" ht="16" x14ac:dyDescent="0.2">
      <c r="A39" s="24" t="s">
        <v>111</v>
      </c>
      <c r="B39" s="24" t="s">
        <v>114</v>
      </c>
      <c r="C39" s="24" t="s">
        <v>150</v>
      </c>
      <c r="D39" t="s">
        <v>25</v>
      </c>
      <c r="G39" s="28"/>
      <c r="H39" s="5">
        <v>38</v>
      </c>
      <c r="I39" s="24" t="s">
        <v>150</v>
      </c>
      <c r="J39" t="s">
        <v>25</v>
      </c>
      <c r="N39" s="2" t="s">
        <v>107</v>
      </c>
      <c r="S39" s="28"/>
    </row>
    <row r="40" spans="1:19" ht="16" x14ac:dyDescent="0.2">
      <c r="A40" s="24" t="s">
        <v>111</v>
      </c>
      <c r="B40" s="24" t="s">
        <v>114</v>
      </c>
      <c r="C40" s="24" t="s">
        <v>147</v>
      </c>
      <c r="D40" t="s">
        <v>25</v>
      </c>
      <c r="G40" s="28"/>
      <c r="H40" s="5">
        <v>39</v>
      </c>
      <c r="I40" s="24" t="s">
        <v>147</v>
      </c>
      <c r="J40" t="s">
        <v>25</v>
      </c>
      <c r="N40" s="2" t="s">
        <v>107</v>
      </c>
      <c r="S40" s="28"/>
    </row>
    <row r="41" spans="1:19" ht="16" x14ac:dyDescent="0.2">
      <c r="A41" s="24" t="s">
        <v>111</v>
      </c>
      <c r="B41" s="24" t="s">
        <v>114</v>
      </c>
      <c r="C41" s="24" t="s">
        <v>148</v>
      </c>
      <c r="D41" t="s">
        <v>25</v>
      </c>
      <c r="G41" s="28"/>
      <c r="H41" s="4">
        <v>40</v>
      </c>
      <c r="I41" s="24" t="s">
        <v>148</v>
      </c>
      <c r="J41" t="s">
        <v>25</v>
      </c>
      <c r="N41" s="2" t="s">
        <v>107</v>
      </c>
      <c r="S41" s="28"/>
    </row>
    <row r="42" spans="1:19" ht="16" x14ac:dyDescent="0.2">
      <c r="A42" s="24" t="s">
        <v>111</v>
      </c>
      <c r="B42" s="24" t="s">
        <v>114</v>
      </c>
      <c r="C42" s="24" t="s">
        <v>179</v>
      </c>
      <c r="D42" t="s">
        <v>25</v>
      </c>
      <c r="G42" s="28"/>
      <c r="H42" s="5">
        <v>41</v>
      </c>
      <c r="I42" s="24" t="s">
        <v>179</v>
      </c>
      <c r="J42" t="s">
        <v>25</v>
      </c>
      <c r="N42" s="2" t="s">
        <v>107</v>
      </c>
      <c r="S42" s="28"/>
    </row>
    <row r="43" spans="1:19" ht="16" x14ac:dyDescent="0.2">
      <c r="A43" s="24" t="s">
        <v>111</v>
      </c>
      <c r="B43" s="24" t="s">
        <v>114</v>
      </c>
      <c r="C43" s="24" t="s">
        <v>175</v>
      </c>
      <c r="D43" t="s">
        <v>25</v>
      </c>
      <c r="G43" s="28"/>
      <c r="H43" s="5">
        <v>42</v>
      </c>
      <c r="I43" s="24" t="s">
        <v>175</v>
      </c>
      <c r="J43" t="s">
        <v>25</v>
      </c>
      <c r="N43" s="2" t="s">
        <v>107</v>
      </c>
      <c r="S43" s="28"/>
    </row>
    <row r="44" spans="1:19" ht="16" x14ac:dyDescent="0.2">
      <c r="A44" s="24" t="s">
        <v>111</v>
      </c>
      <c r="B44" s="24" t="s">
        <v>114</v>
      </c>
      <c r="C44" s="24" t="s">
        <v>146</v>
      </c>
      <c r="D44" t="s">
        <v>25</v>
      </c>
      <c r="G44" s="28"/>
      <c r="H44" s="4">
        <v>43</v>
      </c>
      <c r="I44" s="24" t="s">
        <v>146</v>
      </c>
      <c r="J44" t="s">
        <v>25</v>
      </c>
      <c r="N44" s="2" t="s">
        <v>107</v>
      </c>
      <c r="S44" s="28"/>
    </row>
    <row r="45" spans="1:19" ht="16" x14ac:dyDescent="0.2">
      <c r="A45" s="24" t="s">
        <v>111</v>
      </c>
      <c r="B45" s="24" t="s">
        <v>114</v>
      </c>
      <c r="C45" s="24" t="s">
        <v>184</v>
      </c>
      <c r="D45" t="s">
        <v>25</v>
      </c>
      <c r="G45" s="28"/>
      <c r="H45" s="5">
        <v>44</v>
      </c>
      <c r="I45" s="24" t="s">
        <v>184</v>
      </c>
      <c r="J45" t="s">
        <v>25</v>
      </c>
      <c r="N45" s="2" t="s">
        <v>107</v>
      </c>
      <c r="S45" s="28"/>
    </row>
    <row r="46" spans="1:19" ht="16" x14ac:dyDescent="0.2">
      <c r="A46" s="24" t="s">
        <v>111</v>
      </c>
      <c r="B46" s="24" t="s">
        <v>114</v>
      </c>
      <c r="C46" s="24" t="s">
        <v>163</v>
      </c>
      <c r="D46" t="s">
        <v>25</v>
      </c>
      <c r="G46" s="28"/>
      <c r="H46" s="5">
        <v>45</v>
      </c>
      <c r="I46" s="24" t="s">
        <v>163</v>
      </c>
      <c r="J46" t="s">
        <v>25</v>
      </c>
      <c r="N46" s="2" t="s">
        <v>107</v>
      </c>
      <c r="S46" s="28"/>
    </row>
    <row r="47" spans="1:19" ht="16" x14ac:dyDescent="0.2">
      <c r="A47" s="24" t="s">
        <v>111</v>
      </c>
      <c r="B47" s="24" t="s">
        <v>114</v>
      </c>
      <c r="C47" s="24" t="s">
        <v>59</v>
      </c>
      <c r="D47" t="s">
        <v>32</v>
      </c>
      <c r="H47" s="4">
        <v>46</v>
      </c>
      <c r="I47" s="24" t="s">
        <v>59</v>
      </c>
      <c r="J47" t="s">
        <v>32</v>
      </c>
      <c r="N47" s="2" t="s">
        <v>107</v>
      </c>
    </row>
    <row r="48" spans="1:19" ht="16" x14ac:dyDescent="0.2">
      <c r="A48" s="24" t="s">
        <v>111</v>
      </c>
      <c r="B48" s="24" t="s">
        <v>114</v>
      </c>
      <c r="C48" s="24" t="s">
        <v>124</v>
      </c>
      <c r="D48" t="s">
        <v>195</v>
      </c>
      <c r="H48" s="5">
        <v>47</v>
      </c>
      <c r="I48" s="24" t="s">
        <v>124</v>
      </c>
      <c r="J48" t="s">
        <v>195</v>
      </c>
      <c r="N48" s="2" t="s">
        <v>107</v>
      </c>
    </row>
    <row r="49" spans="1:14" ht="16" x14ac:dyDescent="0.2">
      <c r="A49" s="24" t="s">
        <v>111</v>
      </c>
      <c r="B49" s="24" t="s">
        <v>114</v>
      </c>
      <c r="C49" s="24" t="s">
        <v>186</v>
      </c>
      <c r="D49" t="s">
        <v>195</v>
      </c>
      <c r="H49" s="5">
        <v>48</v>
      </c>
      <c r="I49" s="24" t="s">
        <v>186</v>
      </c>
      <c r="J49" t="s">
        <v>195</v>
      </c>
      <c r="N49" s="2" t="s">
        <v>107</v>
      </c>
    </row>
    <row r="50" spans="1:14" ht="16" x14ac:dyDescent="0.2">
      <c r="A50" s="24" t="s">
        <v>111</v>
      </c>
      <c r="B50" s="24" t="s">
        <v>114</v>
      </c>
      <c r="C50" s="24" t="s">
        <v>118</v>
      </c>
      <c r="D50" t="s">
        <v>25</v>
      </c>
      <c r="H50" s="4">
        <v>49</v>
      </c>
      <c r="I50" s="24" t="s">
        <v>118</v>
      </c>
      <c r="J50" t="s">
        <v>25</v>
      </c>
      <c r="N50" s="2" t="s">
        <v>107</v>
      </c>
    </row>
    <row r="51" spans="1:14" ht="16" x14ac:dyDescent="0.2">
      <c r="A51" s="24" t="s">
        <v>111</v>
      </c>
      <c r="B51" s="24" t="s">
        <v>114</v>
      </c>
      <c r="C51" s="24" t="s">
        <v>72</v>
      </c>
      <c r="D51" t="s">
        <v>32</v>
      </c>
      <c r="H51" s="5">
        <v>50</v>
      </c>
      <c r="I51" s="24" t="s">
        <v>72</v>
      </c>
      <c r="J51" t="s">
        <v>32</v>
      </c>
      <c r="N51" s="2" t="s">
        <v>107</v>
      </c>
    </row>
    <row r="52" spans="1:14" ht="16" x14ac:dyDescent="0.2">
      <c r="A52" s="24" t="s">
        <v>111</v>
      </c>
      <c r="B52" s="24" t="s">
        <v>114</v>
      </c>
      <c r="C52" s="24" t="s">
        <v>42</v>
      </c>
      <c r="D52" t="s">
        <v>32</v>
      </c>
      <c r="H52" s="5">
        <v>51</v>
      </c>
      <c r="I52" s="24" t="s">
        <v>42</v>
      </c>
      <c r="J52" t="s">
        <v>32</v>
      </c>
      <c r="N52" s="2" t="s">
        <v>107</v>
      </c>
    </row>
    <row r="53" spans="1:14" ht="16" x14ac:dyDescent="0.2">
      <c r="A53" s="24" t="s">
        <v>111</v>
      </c>
      <c r="B53" s="24" t="s">
        <v>114</v>
      </c>
      <c r="C53" s="24" t="s">
        <v>139</v>
      </c>
      <c r="D53" t="s">
        <v>25</v>
      </c>
      <c r="H53" s="4">
        <v>52</v>
      </c>
      <c r="I53" s="24" t="s">
        <v>139</v>
      </c>
      <c r="J53" t="s">
        <v>25</v>
      </c>
      <c r="N53" s="2" t="s">
        <v>107</v>
      </c>
    </row>
    <row r="54" spans="1:14" ht="16" x14ac:dyDescent="0.2">
      <c r="A54" s="24" t="s">
        <v>111</v>
      </c>
      <c r="B54" s="24" t="s">
        <v>114</v>
      </c>
      <c r="C54" s="24" t="s">
        <v>132</v>
      </c>
      <c r="D54" t="s">
        <v>195</v>
      </c>
      <c r="H54" s="5">
        <v>53</v>
      </c>
      <c r="I54" s="24" t="s">
        <v>132</v>
      </c>
      <c r="J54" t="s">
        <v>195</v>
      </c>
      <c r="N54" s="2" t="s">
        <v>107</v>
      </c>
    </row>
    <row r="55" spans="1:14" ht="16" x14ac:dyDescent="0.2">
      <c r="A55" s="24" t="s">
        <v>111</v>
      </c>
      <c r="B55" s="24" t="s">
        <v>114</v>
      </c>
      <c r="C55" s="24" t="s">
        <v>164</v>
      </c>
      <c r="D55" t="s">
        <v>195</v>
      </c>
      <c r="H55" s="5">
        <v>54</v>
      </c>
      <c r="I55" s="24" t="s">
        <v>164</v>
      </c>
      <c r="J55" t="s">
        <v>195</v>
      </c>
      <c r="N55" s="2" t="s">
        <v>107</v>
      </c>
    </row>
    <row r="56" spans="1:14" ht="16" x14ac:dyDescent="0.2">
      <c r="A56" s="24" t="s">
        <v>111</v>
      </c>
      <c r="B56" s="24" t="s">
        <v>114</v>
      </c>
      <c r="C56" s="24" t="s">
        <v>152</v>
      </c>
      <c r="D56" t="s">
        <v>28</v>
      </c>
      <c r="H56" s="4">
        <v>55</v>
      </c>
      <c r="I56" s="24" t="s">
        <v>152</v>
      </c>
      <c r="J56" t="s">
        <v>28</v>
      </c>
      <c r="N56" s="2" t="s">
        <v>107</v>
      </c>
    </row>
    <row r="57" spans="1:14" ht="16" x14ac:dyDescent="0.2">
      <c r="A57" s="24" t="s">
        <v>111</v>
      </c>
      <c r="B57" s="24" t="s">
        <v>114</v>
      </c>
      <c r="C57" s="24" t="s">
        <v>153</v>
      </c>
      <c r="D57" t="s">
        <v>28</v>
      </c>
      <c r="H57" s="5">
        <v>56</v>
      </c>
      <c r="I57" s="24" t="s">
        <v>153</v>
      </c>
      <c r="J57" t="s">
        <v>28</v>
      </c>
      <c r="N57" s="2" t="s">
        <v>107</v>
      </c>
    </row>
    <row r="58" spans="1:14" ht="16" x14ac:dyDescent="0.2">
      <c r="A58" s="24" t="s">
        <v>111</v>
      </c>
      <c r="B58" s="24" t="s">
        <v>114</v>
      </c>
      <c r="C58" s="24" t="s">
        <v>125</v>
      </c>
      <c r="D58" t="s">
        <v>195</v>
      </c>
      <c r="H58" s="5">
        <v>57</v>
      </c>
      <c r="I58" s="24" t="s">
        <v>125</v>
      </c>
      <c r="J58" t="s">
        <v>195</v>
      </c>
      <c r="N58" s="2" t="s">
        <v>107</v>
      </c>
    </row>
    <row r="59" spans="1:14" ht="16" x14ac:dyDescent="0.2">
      <c r="A59" s="24" t="s">
        <v>111</v>
      </c>
      <c r="B59" s="24" t="s">
        <v>114</v>
      </c>
      <c r="C59" s="24" t="s">
        <v>180</v>
      </c>
      <c r="D59" t="s">
        <v>25</v>
      </c>
      <c r="H59" s="4">
        <v>58</v>
      </c>
      <c r="I59" s="24" t="s">
        <v>180</v>
      </c>
      <c r="J59" t="s">
        <v>25</v>
      </c>
      <c r="N59" s="2" t="s">
        <v>107</v>
      </c>
    </row>
    <row r="60" spans="1:14" ht="16" x14ac:dyDescent="0.2">
      <c r="A60" s="24" t="s">
        <v>111</v>
      </c>
      <c r="B60" s="24" t="s">
        <v>114</v>
      </c>
      <c r="C60" s="24" t="s">
        <v>122</v>
      </c>
      <c r="D60" t="s">
        <v>195</v>
      </c>
      <c r="H60" s="5">
        <v>59</v>
      </c>
      <c r="I60" s="24" t="s">
        <v>122</v>
      </c>
      <c r="J60" t="s">
        <v>195</v>
      </c>
      <c r="N60" s="2" t="s">
        <v>107</v>
      </c>
    </row>
    <row r="61" spans="1:14" ht="16" x14ac:dyDescent="0.2">
      <c r="A61" s="24" t="s">
        <v>111</v>
      </c>
      <c r="B61" s="24" t="s">
        <v>114</v>
      </c>
      <c r="C61" s="24" t="s">
        <v>61</v>
      </c>
      <c r="D61" t="s">
        <v>195</v>
      </c>
      <c r="H61" s="5">
        <v>60</v>
      </c>
      <c r="I61" s="24" t="s">
        <v>61</v>
      </c>
      <c r="J61" t="s">
        <v>195</v>
      </c>
      <c r="N61" s="2" t="s">
        <v>107</v>
      </c>
    </row>
    <row r="62" spans="1:14" ht="16" x14ac:dyDescent="0.2">
      <c r="A62" s="24" t="s">
        <v>111</v>
      </c>
      <c r="B62" s="24" t="s">
        <v>114</v>
      </c>
      <c r="C62" s="24" t="s">
        <v>85</v>
      </c>
      <c r="D62" t="s">
        <v>195</v>
      </c>
      <c r="H62" s="4">
        <v>61</v>
      </c>
      <c r="I62" s="24" t="s">
        <v>85</v>
      </c>
      <c r="J62" t="s">
        <v>195</v>
      </c>
      <c r="N62" s="2" t="s">
        <v>107</v>
      </c>
    </row>
    <row r="63" spans="1:14" ht="16" x14ac:dyDescent="0.2">
      <c r="A63" s="24" t="s">
        <v>111</v>
      </c>
      <c r="B63" s="24" t="s">
        <v>114</v>
      </c>
      <c r="C63" s="24" t="s">
        <v>88</v>
      </c>
      <c r="D63" t="s">
        <v>195</v>
      </c>
      <c r="H63" s="5">
        <v>62</v>
      </c>
      <c r="I63" s="24" t="s">
        <v>88</v>
      </c>
      <c r="J63" t="s">
        <v>195</v>
      </c>
      <c r="N63" s="2" t="s">
        <v>107</v>
      </c>
    </row>
    <row r="64" spans="1:14" ht="16" x14ac:dyDescent="0.2">
      <c r="A64" s="24" t="s">
        <v>111</v>
      </c>
      <c r="B64" s="24" t="s">
        <v>114</v>
      </c>
      <c r="C64" s="24" t="s">
        <v>98</v>
      </c>
      <c r="D64" t="s">
        <v>27</v>
      </c>
      <c r="H64" s="5">
        <v>63</v>
      </c>
      <c r="I64" s="24" t="s">
        <v>98</v>
      </c>
      <c r="J64" t="s">
        <v>27</v>
      </c>
      <c r="N64" s="2" t="s">
        <v>107</v>
      </c>
    </row>
    <row r="65" spans="1:14" ht="16" x14ac:dyDescent="0.2">
      <c r="A65" s="24" t="s">
        <v>111</v>
      </c>
      <c r="B65" s="24" t="s">
        <v>114</v>
      </c>
      <c r="C65" s="24" t="s">
        <v>154</v>
      </c>
      <c r="D65" t="s">
        <v>25</v>
      </c>
      <c r="H65" s="4">
        <v>64</v>
      </c>
      <c r="I65" s="24" t="s">
        <v>154</v>
      </c>
      <c r="J65" t="s">
        <v>25</v>
      </c>
      <c r="N65" s="2" t="s">
        <v>107</v>
      </c>
    </row>
    <row r="66" spans="1:14" ht="16" x14ac:dyDescent="0.2">
      <c r="A66" s="24" t="s">
        <v>111</v>
      </c>
      <c r="B66" s="24" t="s">
        <v>114</v>
      </c>
      <c r="C66" s="24" t="s">
        <v>93</v>
      </c>
      <c r="D66" t="s">
        <v>195</v>
      </c>
      <c r="H66" s="5">
        <v>65</v>
      </c>
      <c r="I66" s="24" t="s">
        <v>93</v>
      </c>
      <c r="J66" t="s">
        <v>195</v>
      </c>
      <c r="N66" s="2" t="s">
        <v>107</v>
      </c>
    </row>
    <row r="67" spans="1:14" ht="16" x14ac:dyDescent="0.2">
      <c r="A67" s="24" t="s">
        <v>111</v>
      </c>
      <c r="B67" s="24" t="s">
        <v>114</v>
      </c>
      <c r="C67" s="24" t="s">
        <v>137</v>
      </c>
      <c r="D67" t="s">
        <v>32</v>
      </c>
      <c r="H67" s="5">
        <v>66</v>
      </c>
      <c r="I67" s="24" t="s">
        <v>137</v>
      </c>
      <c r="J67" t="s">
        <v>32</v>
      </c>
      <c r="N67" s="2" t="s">
        <v>107</v>
      </c>
    </row>
    <row r="68" spans="1:14" ht="16" x14ac:dyDescent="0.2">
      <c r="A68" s="24" t="s">
        <v>111</v>
      </c>
      <c r="B68" s="24" t="s">
        <v>114</v>
      </c>
      <c r="C68" s="24" t="s">
        <v>123</v>
      </c>
      <c r="D68" t="s">
        <v>25</v>
      </c>
      <c r="H68" s="4">
        <v>67</v>
      </c>
      <c r="I68" s="24" t="s">
        <v>123</v>
      </c>
      <c r="J68" t="s">
        <v>25</v>
      </c>
      <c r="N68" s="2" t="s">
        <v>107</v>
      </c>
    </row>
    <row r="69" spans="1:14" ht="16" x14ac:dyDescent="0.2">
      <c r="A69" s="24" t="s">
        <v>111</v>
      </c>
      <c r="B69" s="24" t="s">
        <v>114</v>
      </c>
      <c r="C69" s="24" t="s">
        <v>178</v>
      </c>
      <c r="D69" t="s">
        <v>25</v>
      </c>
      <c r="H69" s="5">
        <v>68</v>
      </c>
      <c r="I69" s="24" t="s">
        <v>178</v>
      </c>
      <c r="J69" t="s">
        <v>25</v>
      </c>
      <c r="N69" s="2" t="s">
        <v>107</v>
      </c>
    </row>
    <row r="70" spans="1:14" ht="16" x14ac:dyDescent="0.2">
      <c r="A70" s="24" t="s">
        <v>111</v>
      </c>
      <c r="B70" s="24" t="s">
        <v>114</v>
      </c>
      <c r="C70" s="24" t="s">
        <v>91</v>
      </c>
      <c r="D70" t="s">
        <v>195</v>
      </c>
      <c r="H70" s="5">
        <v>69</v>
      </c>
      <c r="I70" s="24" t="s">
        <v>91</v>
      </c>
      <c r="J70" t="s">
        <v>195</v>
      </c>
      <c r="N70" s="2" t="s">
        <v>107</v>
      </c>
    </row>
    <row r="71" spans="1:14" ht="16" x14ac:dyDescent="0.2">
      <c r="A71" s="24" t="s">
        <v>111</v>
      </c>
      <c r="B71" s="24" t="s">
        <v>114</v>
      </c>
      <c r="C71" s="24" t="s">
        <v>189</v>
      </c>
      <c r="D71" t="s">
        <v>195</v>
      </c>
      <c r="H71" s="4">
        <v>70</v>
      </c>
      <c r="I71" s="24" t="s">
        <v>189</v>
      </c>
      <c r="J71" t="s">
        <v>195</v>
      </c>
      <c r="N71" s="2" t="s">
        <v>107</v>
      </c>
    </row>
    <row r="72" spans="1:14" ht="16" x14ac:dyDescent="0.2">
      <c r="A72" s="24" t="s">
        <v>111</v>
      </c>
      <c r="B72" s="24" t="s">
        <v>114</v>
      </c>
      <c r="C72" s="24" t="s">
        <v>129</v>
      </c>
      <c r="D72" t="s">
        <v>25</v>
      </c>
      <c r="H72" s="5">
        <v>71</v>
      </c>
      <c r="I72" s="24" t="s">
        <v>129</v>
      </c>
      <c r="J72" t="s">
        <v>25</v>
      </c>
      <c r="N72" s="2" t="s">
        <v>107</v>
      </c>
    </row>
    <row r="73" spans="1:14" ht="16" x14ac:dyDescent="0.2">
      <c r="A73" s="24" t="s">
        <v>111</v>
      </c>
      <c r="B73" s="24" t="s">
        <v>114</v>
      </c>
      <c r="C73" s="24" t="s">
        <v>176</v>
      </c>
      <c r="D73" t="s">
        <v>25</v>
      </c>
      <c r="H73" s="5">
        <v>72</v>
      </c>
      <c r="I73" s="24" t="s">
        <v>176</v>
      </c>
      <c r="J73" t="s">
        <v>25</v>
      </c>
      <c r="N73" s="2" t="s">
        <v>107</v>
      </c>
    </row>
    <row r="74" spans="1:14" ht="16" x14ac:dyDescent="0.2">
      <c r="A74" s="24" t="s">
        <v>111</v>
      </c>
      <c r="B74" s="24" t="s">
        <v>114</v>
      </c>
      <c r="C74" s="24" t="s">
        <v>130</v>
      </c>
      <c r="D74" t="s">
        <v>25</v>
      </c>
      <c r="H74" s="4">
        <v>73</v>
      </c>
      <c r="I74" s="24" t="s">
        <v>130</v>
      </c>
      <c r="J74" t="s">
        <v>25</v>
      </c>
      <c r="N74" s="2" t="s">
        <v>107</v>
      </c>
    </row>
    <row r="75" spans="1:14" ht="16" x14ac:dyDescent="0.2">
      <c r="A75" s="24" t="s">
        <v>111</v>
      </c>
      <c r="B75" s="24" t="s">
        <v>114</v>
      </c>
      <c r="C75" s="24" t="s">
        <v>155</v>
      </c>
      <c r="D75" t="s">
        <v>25</v>
      </c>
      <c r="H75" s="5">
        <v>74</v>
      </c>
      <c r="I75" s="24" t="s">
        <v>155</v>
      </c>
      <c r="J75" t="s">
        <v>25</v>
      </c>
      <c r="N75" s="2" t="s">
        <v>107</v>
      </c>
    </row>
    <row r="76" spans="1:14" ht="16" x14ac:dyDescent="0.2">
      <c r="A76" s="24" t="s">
        <v>111</v>
      </c>
      <c r="B76" s="24" t="s">
        <v>114</v>
      </c>
      <c r="C76" s="24" t="s">
        <v>169</v>
      </c>
      <c r="D76" t="s">
        <v>25</v>
      </c>
      <c r="H76" s="5">
        <v>75</v>
      </c>
      <c r="I76" s="24" t="s">
        <v>169</v>
      </c>
      <c r="J76" t="s">
        <v>25</v>
      </c>
      <c r="N76" s="2" t="s">
        <v>107</v>
      </c>
    </row>
    <row r="77" spans="1:14" ht="16" x14ac:dyDescent="0.2">
      <c r="A77" s="24" t="s">
        <v>111</v>
      </c>
      <c r="B77" s="24" t="s">
        <v>114</v>
      </c>
      <c r="C77" s="24" t="s">
        <v>119</v>
      </c>
      <c r="D77" t="s">
        <v>25</v>
      </c>
      <c r="H77" s="4">
        <v>76</v>
      </c>
      <c r="I77" s="24" t="s">
        <v>119</v>
      </c>
      <c r="J77" t="s">
        <v>25</v>
      </c>
      <c r="N77" s="2" t="s">
        <v>107</v>
      </c>
    </row>
    <row r="78" spans="1:14" ht="16" x14ac:dyDescent="0.2">
      <c r="A78" s="24" t="s">
        <v>111</v>
      </c>
      <c r="B78" s="24" t="s">
        <v>114</v>
      </c>
      <c r="C78" s="24" t="s">
        <v>182</v>
      </c>
      <c r="D78" t="s">
        <v>28</v>
      </c>
      <c r="H78" s="5">
        <v>77</v>
      </c>
      <c r="I78" s="24" t="s">
        <v>182</v>
      </c>
      <c r="J78" t="s">
        <v>28</v>
      </c>
      <c r="N78" s="2" t="s">
        <v>107</v>
      </c>
    </row>
    <row r="79" spans="1:14" ht="16" x14ac:dyDescent="0.2">
      <c r="A79" s="24" t="s">
        <v>111</v>
      </c>
      <c r="B79" s="24" t="s">
        <v>114</v>
      </c>
      <c r="C79" s="24" t="s">
        <v>126</v>
      </c>
      <c r="D79" t="s">
        <v>25</v>
      </c>
      <c r="H79" s="5">
        <v>78</v>
      </c>
      <c r="I79" s="24" t="s">
        <v>126</v>
      </c>
      <c r="J79" t="s">
        <v>25</v>
      </c>
      <c r="N79" s="2" t="s">
        <v>107</v>
      </c>
    </row>
    <row r="80" spans="1:14" ht="16" x14ac:dyDescent="0.2">
      <c r="A80" s="24" t="s">
        <v>111</v>
      </c>
      <c r="B80" s="24" t="s">
        <v>114</v>
      </c>
      <c r="C80" s="24" t="s">
        <v>165</v>
      </c>
      <c r="D80" t="s">
        <v>28</v>
      </c>
      <c r="H80" s="4">
        <v>79</v>
      </c>
      <c r="I80" s="24" t="s">
        <v>165</v>
      </c>
      <c r="J80" t="s">
        <v>28</v>
      </c>
      <c r="N80" s="2" t="s">
        <v>107</v>
      </c>
    </row>
    <row r="81" spans="1:14" ht="16" x14ac:dyDescent="0.2">
      <c r="A81" s="24" t="s">
        <v>111</v>
      </c>
      <c r="B81" s="24" t="s">
        <v>114</v>
      </c>
      <c r="C81" s="24" t="s">
        <v>87</v>
      </c>
      <c r="D81" t="s">
        <v>25</v>
      </c>
      <c r="H81" s="5">
        <v>80</v>
      </c>
      <c r="I81" s="24" t="s">
        <v>87</v>
      </c>
      <c r="J81" t="s">
        <v>25</v>
      </c>
      <c r="N81" s="2" t="s">
        <v>107</v>
      </c>
    </row>
    <row r="82" spans="1:14" ht="16" x14ac:dyDescent="0.2">
      <c r="A82" s="24" t="s">
        <v>111</v>
      </c>
      <c r="B82" s="24" t="s">
        <v>114</v>
      </c>
      <c r="C82" s="24" t="s">
        <v>133</v>
      </c>
      <c r="D82" t="s">
        <v>25</v>
      </c>
      <c r="H82" s="5">
        <v>81</v>
      </c>
      <c r="I82" s="24" t="s">
        <v>133</v>
      </c>
      <c r="J82" t="s">
        <v>25</v>
      </c>
      <c r="N82" s="2" t="s">
        <v>107</v>
      </c>
    </row>
    <row r="83" spans="1:14" ht="16" x14ac:dyDescent="0.2">
      <c r="A83" s="24" t="s">
        <v>111</v>
      </c>
      <c r="B83" s="24" t="s">
        <v>114</v>
      </c>
      <c r="C83" s="24" t="s">
        <v>134</v>
      </c>
      <c r="D83" t="s">
        <v>25</v>
      </c>
      <c r="H83" s="4">
        <v>82</v>
      </c>
      <c r="I83" s="24" t="s">
        <v>134</v>
      </c>
      <c r="J83" t="s">
        <v>25</v>
      </c>
      <c r="N83" s="2" t="s">
        <v>107</v>
      </c>
    </row>
    <row r="84" spans="1:14" ht="16" x14ac:dyDescent="0.2">
      <c r="A84" s="24" t="s">
        <v>111</v>
      </c>
      <c r="B84" s="24" t="s">
        <v>114</v>
      </c>
      <c r="C84" s="24" t="s">
        <v>191</v>
      </c>
      <c r="D84" t="s">
        <v>25</v>
      </c>
      <c r="H84" s="5">
        <v>83</v>
      </c>
      <c r="I84" s="24" t="s">
        <v>191</v>
      </c>
      <c r="J84" t="s">
        <v>25</v>
      </c>
      <c r="N84" s="2" t="s">
        <v>107</v>
      </c>
    </row>
    <row r="85" spans="1:14" ht="16" x14ac:dyDescent="0.2">
      <c r="A85" s="24" t="s">
        <v>111</v>
      </c>
      <c r="B85" s="24" t="s">
        <v>114</v>
      </c>
      <c r="C85" s="24" t="s">
        <v>64</v>
      </c>
      <c r="D85" t="s">
        <v>32</v>
      </c>
      <c r="F85" s="17"/>
      <c r="H85" s="5">
        <v>84</v>
      </c>
      <c r="I85" s="24" t="s">
        <v>64</v>
      </c>
      <c r="J85" t="s">
        <v>32</v>
      </c>
      <c r="N85" s="2" t="s">
        <v>107</v>
      </c>
    </row>
    <row r="86" spans="1:14" ht="16" x14ac:dyDescent="0.2">
      <c r="A86" s="24" t="s">
        <v>111</v>
      </c>
      <c r="B86" s="24" t="s">
        <v>114</v>
      </c>
      <c r="C86" s="24" t="s">
        <v>83</v>
      </c>
      <c r="D86" t="s">
        <v>32</v>
      </c>
      <c r="H86" s="4">
        <v>85</v>
      </c>
      <c r="I86" s="24" t="s">
        <v>83</v>
      </c>
      <c r="J86" t="s">
        <v>32</v>
      </c>
      <c r="N86" s="2" t="s">
        <v>107</v>
      </c>
    </row>
    <row r="87" spans="1:14" ht="16" x14ac:dyDescent="0.2">
      <c r="A87" s="24" t="s">
        <v>111</v>
      </c>
      <c r="B87" s="24" t="s">
        <v>114</v>
      </c>
      <c r="C87" s="24" t="s">
        <v>156</v>
      </c>
      <c r="D87" t="s">
        <v>25</v>
      </c>
      <c r="H87" s="5">
        <v>86</v>
      </c>
      <c r="I87" s="24" t="s">
        <v>156</v>
      </c>
      <c r="J87" t="s">
        <v>25</v>
      </c>
      <c r="N87" s="2" t="s">
        <v>107</v>
      </c>
    </row>
    <row r="88" spans="1:14" ht="16" x14ac:dyDescent="0.2">
      <c r="A88" s="24" t="s">
        <v>111</v>
      </c>
      <c r="B88" s="24" t="s">
        <v>114</v>
      </c>
      <c r="C88" s="24" t="s">
        <v>157</v>
      </c>
      <c r="D88" t="s">
        <v>25</v>
      </c>
      <c r="H88" s="5">
        <v>87</v>
      </c>
      <c r="I88" s="24" t="s">
        <v>157</v>
      </c>
      <c r="J88" t="s">
        <v>25</v>
      </c>
      <c r="N88" s="2" t="s">
        <v>107</v>
      </c>
    </row>
    <row r="89" spans="1:14" ht="16" x14ac:dyDescent="0.2">
      <c r="A89" s="24" t="s">
        <v>111</v>
      </c>
      <c r="B89" s="24" t="s">
        <v>114</v>
      </c>
      <c r="C89" s="24" t="s">
        <v>166</v>
      </c>
      <c r="D89" t="s">
        <v>32</v>
      </c>
      <c r="H89" s="4">
        <v>88</v>
      </c>
      <c r="I89" s="24" t="s">
        <v>166</v>
      </c>
      <c r="J89" t="s">
        <v>32</v>
      </c>
      <c r="N89" s="2" t="s">
        <v>107</v>
      </c>
    </row>
    <row r="90" spans="1:14" ht="16" x14ac:dyDescent="0.2">
      <c r="A90" s="24" t="s">
        <v>111</v>
      </c>
      <c r="B90" s="24" t="s">
        <v>114</v>
      </c>
      <c r="C90" s="24" t="s">
        <v>168</v>
      </c>
      <c r="D90" t="s">
        <v>32</v>
      </c>
      <c r="H90" s="5">
        <v>89</v>
      </c>
      <c r="I90" s="24" t="s">
        <v>168</v>
      </c>
      <c r="J90" t="s">
        <v>32</v>
      </c>
      <c r="N90" s="2" t="s">
        <v>107</v>
      </c>
    </row>
    <row r="91" spans="1:14" ht="16" x14ac:dyDescent="0.2">
      <c r="A91" s="24" t="s">
        <v>111</v>
      </c>
      <c r="B91" s="24" t="s">
        <v>114</v>
      </c>
      <c r="C91" s="24" t="s">
        <v>167</v>
      </c>
      <c r="D91" t="s">
        <v>32</v>
      </c>
      <c r="H91" s="5">
        <v>90</v>
      </c>
      <c r="I91" s="24" t="s">
        <v>167</v>
      </c>
      <c r="J91" t="s">
        <v>32</v>
      </c>
      <c r="N91" s="2" t="s">
        <v>107</v>
      </c>
    </row>
    <row r="92" spans="1:14" ht="16" x14ac:dyDescent="0.2">
      <c r="A92" s="24" t="s">
        <v>111</v>
      </c>
      <c r="B92" s="24" t="s">
        <v>114</v>
      </c>
      <c r="C92" s="24" t="s">
        <v>131</v>
      </c>
      <c r="D92" t="s">
        <v>195</v>
      </c>
      <c r="H92" s="4">
        <v>91</v>
      </c>
      <c r="I92" s="24" t="s">
        <v>131</v>
      </c>
      <c r="J92" t="s">
        <v>195</v>
      </c>
      <c r="N92" s="2" t="s">
        <v>107</v>
      </c>
    </row>
    <row r="93" spans="1:14" ht="16" x14ac:dyDescent="0.2">
      <c r="A93" s="24" t="s">
        <v>111</v>
      </c>
      <c r="B93" s="24" t="s">
        <v>114</v>
      </c>
      <c r="C93" s="24" t="s">
        <v>90</v>
      </c>
      <c r="D93" t="s">
        <v>28</v>
      </c>
      <c r="H93" s="5">
        <v>92</v>
      </c>
      <c r="I93" s="24" t="s">
        <v>90</v>
      </c>
      <c r="J93" t="s">
        <v>28</v>
      </c>
      <c r="N93" s="2" t="s">
        <v>107</v>
      </c>
    </row>
    <row r="94" spans="1:14" ht="16" x14ac:dyDescent="0.2">
      <c r="A94" s="24" t="s">
        <v>111</v>
      </c>
      <c r="B94" s="24" t="s">
        <v>114</v>
      </c>
      <c r="C94" s="24" t="s">
        <v>92</v>
      </c>
      <c r="D94" t="s">
        <v>195</v>
      </c>
      <c r="H94" s="5">
        <v>93</v>
      </c>
      <c r="I94" s="24" t="s">
        <v>92</v>
      </c>
      <c r="J94" t="s">
        <v>195</v>
      </c>
      <c r="N94" s="2" t="s">
        <v>107</v>
      </c>
    </row>
    <row r="95" spans="1:14" ht="16" x14ac:dyDescent="0.2">
      <c r="A95" s="24" t="s">
        <v>111</v>
      </c>
      <c r="B95" s="24" t="s">
        <v>114</v>
      </c>
      <c r="C95" s="24" t="s">
        <v>187</v>
      </c>
      <c r="D95" t="s">
        <v>25</v>
      </c>
      <c r="H95" s="4">
        <v>94</v>
      </c>
      <c r="I95" s="24" t="s">
        <v>187</v>
      </c>
      <c r="J95" t="s">
        <v>25</v>
      </c>
      <c r="N95" s="2" t="s">
        <v>107</v>
      </c>
    </row>
    <row r="96" spans="1:14" ht="16" x14ac:dyDescent="0.2">
      <c r="A96" s="24" t="s">
        <v>111</v>
      </c>
      <c r="B96" s="24" t="s">
        <v>114</v>
      </c>
      <c r="C96" s="24" t="s">
        <v>99</v>
      </c>
      <c r="D96" t="s">
        <v>27</v>
      </c>
      <c r="H96" s="5">
        <v>95</v>
      </c>
      <c r="I96" s="24" t="s">
        <v>99</v>
      </c>
      <c r="J96" t="s">
        <v>27</v>
      </c>
      <c r="N96" s="2" t="s">
        <v>107</v>
      </c>
    </row>
    <row r="97" spans="1:14" ht="16" x14ac:dyDescent="0.2">
      <c r="A97" s="24" t="s">
        <v>111</v>
      </c>
      <c r="B97" s="24" t="s">
        <v>114</v>
      </c>
      <c r="C97" s="24" t="s">
        <v>185</v>
      </c>
      <c r="D97" t="s">
        <v>32</v>
      </c>
      <c r="H97" s="5">
        <v>96</v>
      </c>
      <c r="I97" s="24" t="s">
        <v>185</v>
      </c>
      <c r="J97" t="s">
        <v>32</v>
      </c>
      <c r="N97" s="2" t="s">
        <v>107</v>
      </c>
    </row>
    <row r="98" spans="1:14" ht="16" x14ac:dyDescent="0.2">
      <c r="A98" s="24" t="s">
        <v>111</v>
      </c>
      <c r="B98" s="24" t="s">
        <v>114</v>
      </c>
      <c r="C98" s="24" t="s">
        <v>100</v>
      </c>
      <c r="D98" t="s">
        <v>27</v>
      </c>
      <c r="H98" s="4">
        <v>97</v>
      </c>
      <c r="I98" s="24" t="s">
        <v>100</v>
      </c>
      <c r="J98" t="s">
        <v>27</v>
      </c>
      <c r="N98" s="2" t="s">
        <v>107</v>
      </c>
    </row>
    <row r="99" spans="1:14" ht="16" x14ac:dyDescent="0.2">
      <c r="A99" s="24" t="s">
        <v>111</v>
      </c>
      <c r="B99" s="24" t="s">
        <v>114</v>
      </c>
      <c r="C99" s="24" t="s">
        <v>86</v>
      </c>
      <c r="D99" t="s">
        <v>195</v>
      </c>
      <c r="H99" s="5">
        <v>98</v>
      </c>
      <c r="I99" s="24" t="s">
        <v>86</v>
      </c>
      <c r="J99" t="s">
        <v>195</v>
      </c>
      <c r="N99" s="2" t="s">
        <v>107</v>
      </c>
    </row>
    <row r="100" spans="1:14" ht="16" x14ac:dyDescent="0.2">
      <c r="A100" s="24" t="s">
        <v>111</v>
      </c>
      <c r="B100" s="24" t="s">
        <v>114</v>
      </c>
      <c r="C100" s="24" t="s">
        <v>89</v>
      </c>
      <c r="D100" t="s">
        <v>195</v>
      </c>
      <c r="H100" s="5">
        <v>99</v>
      </c>
      <c r="I100" s="24" t="s">
        <v>89</v>
      </c>
      <c r="J100" t="s">
        <v>195</v>
      </c>
      <c r="N100" s="2" t="s">
        <v>107</v>
      </c>
    </row>
    <row r="101" spans="1:14" ht="16" x14ac:dyDescent="0.2">
      <c r="A101" s="24" t="s">
        <v>111</v>
      </c>
      <c r="B101" s="24" t="s">
        <v>114</v>
      </c>
      <c r="C101" s="24" t="s">
        <v>84</v>
      </c>
      <c r="D101" t="s">
        <v>25</v>
      </c>
      <c r="H101" s="4">
        <v>100</v>
      </c>
      <c r="I101" s="24" t="s">
        <v>84</v>
      </c>
      <c r="J101" t="s">
        <v>25</v>
      </c>
      <c r="N101" s="2" t="s">
        <v>107</v>
      </c>
    </row>
    <row r="102" spans="1:14" ht="16" x14ac:dyDescent="0.2">
      <c r="A102" s="24" t="s">
        <v>111</v>
      </c>
      <c r="B102" s="24" t="s">
        <v>114</v>
      </c>
      <c r="C102" s="24" t="s">
        <v>35</v>
      </c>
      <c r="D102" t="s">
        <v>25</v>
      </c>
      <c r="H102" s="5">
        <v>101</v>
      </c>
      <c r="I102" s="24" t="s">
        <v>35</v>
      </c>
      <c r="J102" t="s">
        <v>25</v>
      </c>
      <c r="N102" s="2" t="s">
        <v>107</v>
      </c>
    </row>
    <row r="103" spans="1:14" ht="16" x14ac:dyDescent="0.2">
      <c r="A103" s="24" t="s">
        <v>111</v>
      </c>
      <c r="B103" s="24" t="s">
        <v>114</v>
      </c>
      <c r="C103" s="24" t="s">
        <v>34</v>
      </c>
      <c r="D103" t="s">
        <v>25</v>
      </c>
      <c r="H103" s="5">
        <v>102</v>
      </c>
      <c r="I103" s="24" t="s">
        <v>34</v>
      </c>
      <c r="J103" t="s">
        <v>25</v>
      </c>
      <c r="N103" s="2" t="s">
        <v>107</v>
      </c>
    </row>
    <row r="104" spans="1:14" ht="16" x14ac:dyDescent="0.2">
      <c r="A104" s="24" t="s">
        <v>111</v>
      </c>
      <c r="B104" s="24" t="s">
        <v>114</v>
      </c>
      <c r="C104" s="24" t="s">
        <v>33</v>
      </c>
      <c r="D104" t="s">
        <v>25</v>
      </c>
      <c r="H104" s="4">
        <v>103</v>
      </c>
      <c r="I104" s="24" t="s">
        <v>33</v>
      </c>
      <c r="J104" t="s">
        <v>25</v>
      </c>
      <c r="N104" s="2" t="s">
        <v>107</v>
      </c>
    </row>
    <row r="105" spans="1:14" ht="16" x14ac:dyDescent="0.2">
      <c r="A105" s="24" t="s">
        <v>111</v>
      </c>
      <c r="B105" s="24" t="s">
        <v>114</v>
      </c>
      <c r="C105" s="24" t="s">
        <v>41</v>
      </c>
      <c r="D105" t="s">
        <v>25</v>
      </c>
      <c r="H105" s="5">
        <v>104</v>
      </c>
      <c r="I105" s="24" t="s">
        <v>41</v>
      </c>
      <c r="J105" t="s">
        <v>25</v>
      </c>
      <c r="N105" s="2" t="s">
        <v>107</v>
      </c>
    </row>
    <row r="106" spans="1:14" ht="16" x14ac:dyDescent="0.2">
      <c r="A106" s="24" t="s">
        <v>111</v>
      </c>
      <c r="B106" s="24" t="s">
        <v>114</v>
      </c>
      <c r="C106" s="24" t="s">
        <v>40</v>
      </c>
      <c r="D106" t="s">
        <v>25</v>
      </c>
      <c r="H106" s="5">
        <v>105</v>
      </c>
      <c r="I106" s="24" t="s">
        <v>40</v>
      </c>
      <c r="J106" t="s">
        <v>25</v>
      </c>
      <c r="N106" s="2" t="s">
        <v>107</v>
      </c>
    </row>
    <row r="107" spans="1:14" ht="16" x14ac:dyDescent="0.2">
      <c r="A107" s="24" t="s">
        <v>111</v>
      </c>
      <c r="B107" s="24" t="s">
        <v>114</v>
      </c>
      <c r="C107" s="24" t="s">
        <v>39</v>
      </c>
      <c r="D107" t="s">
        <v>25</v>
      </c>
      <c r="H107" s="4">
        <v>106</v>
      </c>
      <c r="I107" s="24" t="s">
        <v>39</v>
      </c>
      <c r="J107" t="s">
        <v>25</v>
      </c>
      <c r="N107" s="2" t="s">
        <v>107</v>
      </c>
    </row>
    <row r="108" spans="1:14" ht="16" x14ac:dyDescent="0.2">
      <c r="A108" s="24" t="s">
        <v>111</v>
      </c>
      <c r="B108" s="24" t="s">
        <v>114</v>
      </c>
      <c r="C108" s="24" t="s">
        <v>38</v>
      </c>
      <c r="D108" t="s">
        <v>25</v>
      </c>
      <c r="H108" s="5">
        <v>107</v>
      </c>
      <c r="I108" s="24" t="s">
        <v>38</v>
      </c>
      <c r="J108" t="s">
        <v>25</v>
      </c>
      <c r="N108" s="2" t="s">
        <v>107</v>
      </c>
    </row>
    <row r="109" spans="1:14" ht="16" x14ac:dyDescent="0.2">
      <c r="A109" s="24" t="s">
        <v>111</v>
      </c>
      <c r="B109" s="24" t="s">
        <v>114</v>
      </c>
      <c r="C109" s="24" t="s">
        <v>37</v>
      </c>
      <c r="D109" t="s">
        <v>25</v>
      </c>
      <c r="H109" s="5">
        <v>108</v>
      </c>
      <c r="I109" s="24" t="s">
        <v>37</v>
      </c>
      <c r="J109" t="s">
        <v>25</v>
      </c>
      <c r="N109" s="2" t="s">
        <v>107</v>
      </c>
    </row>
    <row r="110" spans="1:14" ht="16" x14ac:dyDescent="0.2">
      <c r="A110" s="24" t="s">
        <v>111</v>
      </c>
      <c r="B110" s="24" t="s">
        <v>114</v>
      </c>
      <c r="C110" s="24" t="s">
        <v>36</v>
      </c>
      <c r="D110" t="s">
        <v>25</v>
      </c>
      <c r="H110" s="4">
        <v>109</v>
      </c>
      <c r="I110" s="24" t="s">
        <v>36</v>
      </c>
      <c r="J110" t="s">
        <v>25</v>
      </c>
      <c r="N110" s="2" t="s">
        <v>107</v>
      </c>
    </row>
    <row r="111" spans="1:14" ht="16" x14ac:dyDescent="0.2">
      <c r="A111" s="24" t="s">
        <v>111</v>
      </c>
      <c r="B111" s="24" t="s">
        <v>114</v>
      </c>
      <c r="C111" s="24" t="s">
        <v>43</v>
      </c>
      <c r="D111" t="s">
        <v>25</v>
      </c>
      <c r="H111" s="5">
        <v>110</v>
      </c>
      <c r="I111" s="24" t="s">
        <v>43</v>
      </c>
      <c r="J111" t="s">
        <v>25</v>
      </c>
      <c r="N111" s="2" t="s">
        <v>107</v>
      </c>
    </row>
    <row r="112" spans="1:14" ht="16" x14ac:dyDescent="0.2">
      <c r="A112" s="24" t="s">
        <v>111</v>
      </c>
      <c r="B112" s="24" t="s">
        <v>114</v>
      </c>
      <c r="C112" s="24" t="s">
        <v>47</v>
      </c>
      <c r="D112" t="s">
        <v>25</v>
      </c>
      <c r="H112" s="5">
        <v>111</v>
      </c>
      <c r="I112" s="24" t="s">
        <v>47</v>
      </c>
      <c r="J112" t="s">
        <v>25</v>
      </c>
      <c r="N112" s="2" t="s">
        <v>107</v>
      </c>
    </row>
    <row r="113" spans="1:14" ht="16" x14ac:dyDescent="0.2">
      <c r="A113" s="24" t="s">
        <v>111</v>
      </c>
      <c r="B113" s="24" t="s">
        <v>114</v>
      </c>
      <c r="C113" s="24" t="s">
        <v>46</v>
      </c>
      <c r="D113" t="s">
        <v>25</v>
      </c>
      <c r="H113" s="4">
        <v>112</v>
      </c>
      <c r="I113" s="24" t="s">
        <v>46</v>
      </c>
      <c r="J113" t="s">
        <v>25</v>
      </c>
      <c r="N113" s="2" t="s">
        <v>107</v>
      </c>
    </row>
    <row r="114" spans="1:14" ht="16" x14ac:dyDescent="0.2">
      <c r="A114" s="24" t="s">
        <v>111</v>
      </c>
      <c r="B114" s="24" t="s">
        <v>114</v>
      </c>
      <c r="C114" s="24" t="s">
        <v>45</v>
      </c>
      <c r="D114" t="s">
        <v>25</v>
      </c>
      <c r="H114" s="5">
        <v>113</v>
      </c>
      <c r="I114" s="24" t="s">
        <v>45</v>
      </c>
      <c r="J114" t="s">
        <v>25</v>
      </c>
      <c r="N114" s="2" t="s">
        <v>107</v>
      </c>
    </row>
    <row r="115" spans="1:14" ht="16" x14ac:dyDescent="0.2">
      <c r="A115" s="24" t="s">
        <v>111</v>
      </c>
      <c r="B115" s="24" t="s">
        <v>114</v>
      </c>
      <c r="C115" s="24" t="s">
        <v>44</v>
      </c>
      <c r="D115" t="s">
        <v>25</v>
      </c>
      <c r="H115" s="5">
        <v>114</v>
      </c>
      <c r="I115" s="24" t="s">
        <v>44</v>
      </c>
      <c r="J115" t="s">
        <v>25</v>
      </c>
      <c r="N115" s="2" t="s">
        <v>107</v>
      </c>
    </row>
    <row r="116" spans="1:14" ht="16" x14ac:dyDescent="0.2">
      <c r="A116" s="24" t="s">
        <v>111</v>
      </c>
      <c r="B116" s="24" t="s">
        <v>114</v>
      </c>
      <c r="C116" s="24" t="s">
        <v>56</v>
      </c>
      <c r="D116" t="s">
        <v>25</v>
      </c>
      <c r="H116" s="4">
        <v>115</v>
      </c>
      <c r="I116" s="24" t="s">
        <v>56</v>
      </c>
      <c r="J116" t="s">
        <v>25</v>
      </c>
      <c r="N116" s="2" t="s">
        <v>107</v>
      </c>
    </row>
    <row r="117" spans="1:14" ht="16" x14ac:dyDescent="0.2">
      <c r="A117" s="24" t="s">
        <v>111</v>
      </c>
      <c r="B117" s="24" t="s">
        <v>114</v>
      </c>
      <c r="C117" s="24" t="s">
        <v>55</v>
      </c>
      <c r="D117" t="s">
        <v>25</v>
      </c>
      <c r="H117" s="5">
        <v>116</v>
      </c>
      <c r="I117" s="24" t="s">
        <v>55</v>
      </c>
      <c r="J117" t="s">
        <v>25</v>
      </c>
      <c r="N117" s="2" t="s">
        <v>107</v>
      </c>
    </row>
    <row r="118" spans="1:14" ht="16" x14ac:dyDescent="0.2">
      <c r="A118" s="24" t="s">
        <v>111</v>
      </c>
      <c r="B118" s="24" t="s">
        <v>114</v>
      </c>
      <c r="C118" s="24" t="s">
        <v>54</v>
      </c>
      <c r="D118" t="s">
        <v>25</v>
      </c>
      <c r="H118" s="5">
        <v>117</v>
      </c>
      <c r="I118" s="24" t="s">
        <v>54</v>
      </c>
      <c r="J118" t="s">
        <v>25</v>
      </c>
      <c r="N118" s="2" t="s">
        <v>107</v>
      </c>
    </row>
    <row r="119" spans="1:14" ht="16" x14ac:dyDescent="0.2">
      <c r="A119" s="24" t="s">
        <v>111</v>
      </c>
      <c r="B119" s="24" t="s">
        <v>114</v>
      </c>
      <c r="C119" s="24" t="s">
        <v>53</v>
      </c>
      <c r="D119" t="s">
        <v>25</v>
      </c>
      <c r="H119" s="4">
        <v>118</v>
      </c>
      <c r="I119" s="24" t="s">
        <v>53</v>
      </c>
      <c r="J119" t="s">
        <v>25</v>
      </c>
      <c r="N119" s="2" t="s">
        <v>107</v>
      </c>
    </row>
    <row r="120" spans="1:14" ht="16" x14ac:dyDescent="0.2">
      <c r="A120" s="24" t="s">
        <v>111</v>
      </c>
      <c r="B120" s="24" t="s">
        <v>114</v>
      </c>
      <c r="C120" s="24" t="s">
        <v>57</v>
      </c>
      <c r="D120" t="s">
        <v>25</v>
      </c>
      <c r="H120" s="5">
        <v>119</v>
      </c>
      <c r="I120" s="24" t="s">
        <v>57</v>
      </c>
      <c r="J120" t="s">
        <v>25</v>
      </c>
      <c r="N120" s="2" t="s">
        <v>107</v>
      </c>
    </row>
    <row r="121" spans="1:14" ht="16" x14ac:dyDescent="0.2">
      <c r="A121" s="24" t="s">
        <v>111</v>
      </c>
      <c r="B121" s="24" t="s">
        <v>114</v>
      </c>
      <c r="C121" s="24" t="s">
        <v>49</v>
      </c>
      <c r="D121" t="s">
        <v>25</v>
      </c>
      <c r="H121" s="5">
        <v>120</v>
      </c>
      <c r="I121" s="24" t="s">
        <v>49</v>
      </c>
      <c r="J121" t="s">
        <v>25</v>
      </c>
      <c r="N121" s="2" t="s">
        <v>107</v>
      </c>
    </row>
    <row r="122" spans="1:14" ht="16" x14ac:dyDescent="0.2">
      <c r="A122" s="24" t="s">
        <v>111</v>
      </c>
      <c r="B122" s="24" t="s">
        <v>114</v>
      </c>
      <c r="C122" s="24" t="s">
        <v>60</v>
      </c>
      <c r="D122" t="s">
        <v>25</v>
      </c>
      <c r="H122" s="4">
        <v>121</v>
      </c>
      <c r="I122" s="24" t="s">
        <v>60</v>
      </c>
      <c r="J122" t="s">
        <v>25</v>
      </c>
      <c r="N122" s="2" t="s">
        <v>107</v>
      </c>
    </row>
    <row r="123" spans="1:14" ht="16" x14ac:dyDescent="0.2">
      <c r="A123" s="24" t="s">
        <v>111</v>
      </c>
      <c r="B123" s="24" t="s">
        <v>114</v>
      </c>
      <c r="C123" s="24" t="s">
        <v>67</v>
      </c>
      <c r="D123" t="s">
        <v>25</v>
      </c>
      <c r="H123" s="5">
        <v>122</v>
      </c>
      <c r="I123" s="24" t="s">
        <v>67</v>
      </c>
      <c r="J123" t="s">
        <v>25</v>
      </c>
      <c r="N123" s="2" t="s">
        <v>107</v>
      </c>
    </row>
    <row r="124" spans="1:14" ht="16" x14ac:dyDescent="0.2">
      <c r="A124" s="24" t="s">
        <v>111</v>
      </c>
      <c r="B124" s="24" t="s">
        <v>114</v>
      </c>
      <c r="C124" s="24" t="s">
        <v>69</v>
      </c>
      <c r="D124" t="s">
        <v>25</v>
      </c>
      <c r="H124" s="5">
        <v>123</v>
      </c>
      <c r="I124" s="24" t="s">
        <v>69</v>
      </c>
      <c r="J124" t="s">
        <v>25</v>
      </c>
      <c r="N124" s="2" t="s">
        <v>107</v>
      </c>
    </row>
    <row r="125" spans="1:14" ht="16" x14ac:dyDescent="0.2">
      <c r="A125" s="24" t="s">
        <v>111</v>
      </c>
      <c r="B125" s="24" t="s">
        <v>114</v>
      </c>
      <c r="C125" s="24" t="s">
        <v>68</v>
      </c>
      <c r="D125" t="s">
        <v>25</v>
      </c>
      <c r="H125" s="4">
        <v>124</v>
      </c>
      <c r="I125" s="24" t="s">
        <v>68</v>
      </c>
      <c r="J125" t="s">
        <v>25</v>
      </c>
      <c r="N125" s="2" t="s">
        <v>107</v>
      </c>
    </row>
    <row r="126" spans="1:14" ht="16" x14ac:dyDescent="0.2">
      <c r="A126" s="24" t="s">
        <v>111</v>
      </c>
      <c r="B126" s="24" t="s">
        <v>114</v>
      </c>
      <c r="C126" s="24" t="s">
        <v>63</v>
      </c>
      <c r="D126" t="s">
        <v>25</v>
      </c>
      <c r="H126" s="5">
        <v>125</v>
      </c>
      <c r="I126" s="24" t="s">
        <v>63</v>
      </c>
      <c r="J126" t="s">
        <v>25</v>
      </c>
      <c r="N126" s="2" t="s">
        <v>107</v>
      </c>
    </row>
    <row r="127" spans="1:14" ht="16" x14ac:dyDescent="0.2">
      <c r="A127" s="24" t="s">
        <v>111</v>
      </c>
      <c r="B127" s="24" t="s">
        <v>114</v>
      </c>
      <c r="C127" s="24" t="s">
        <v>62</v>
      </c>
      <c r="D127" t="s">
        <v>25</v>
      </c>
      <c r="H127" s="5">
        <v>126</v>
      </c>
      <c r="I127" s="24" t="s">
        <v>62</v>
      </c>
      <c r="J127" t="s">
        <v>25</v>
      </c>
      <c r="N127" s="2" t="s">
        <v>107</v>
      </c>
    </row>
    <row r="128" spans="1:14" ht="16" x14ac:dyDescent="0.2">
      <c r="A128" s="24" t="s">
        <v>111</v>
      </c>
      <c r="B128" s="24" t="s">
        <v>114</v>
      </c>
      <c r="C128" s="24" t="s">
        <v>66</v>
      </c>
      <c r="D128" t="s">
        <v>25</v>
      </c>
      <c r="H128" s="4">
        <v>127</v>
      </c>
      <c r="I128" s="24" t="s">
        <v>66</v>
      </c>
      <c r="J128" t="s">
        <v>25</v>
      </c>
      <c r="N128" s="2" t="s">
        <v>107</v>
      </c>
    </row>
    <row r="129" spans="1:18" ht="16" x14ac:dyDescent="0.2">
      <c r="A129" s="24" t="s">
        <v>111</v>
      </c>
      <c r="B129" s="24" t="s">
        <v>114</v>
      </c>
      <c r="C129" s="24" t="s">
        <v>65</v>
      </c>
      <c r="D129" t="s">
        <v>25</v>
      </c>
      <c r="H129" s="5">
        <v>128</v>
      </c>
      <c r="I129" s="24" t="s">
        <v>65</v>
      </c>
      <c r="J129" t="s">
        <v>25</v>
      </c>
      <c r="N129" s="2" t="s">
        <v>107</v>
      </c>
    </row>
    <row r="130" spans="1:18" ht="16" x14ac:dyDescent="0.2">
      <c r="A130" s="24" t="s">
        <v>111</v>
      </c>
      <c r="B130" s="24" t="s">
        <v>114</v>
      </c>
      <c r="C130" s="24" t="s">
        <v>71</v>
      </c>
      <c r="D130" t="s">
        <v>25</v>
      </c>
      <c r="H130" s="5">
        <v>129</v>
      </c>
      <c r="I130" s="24" t="s">
        <v>71</v>
      </c>
      <c r="J130" t="s">
        <v>25</v>
      </c>
      <c r="N130" s="2" t="s">
        <v>107</v>
      </c>
    </row>
    <row r="131" spans="1:18" ht="16" x14ac:dyDescent="0.2">
      <c r="A131" s="24" t="s">
        <v>111</v>
      </c>
      <c r="B131" s="24" t="s">
        <v>114</v>
      </c>
      <c r="C131" s="24" t="s">
        <v>70</v>
      </c>
      <c r="D131" t="s">
        <v>25</v>
      </c>
      <c r="H131" s="4">
        <v>130</v>
      </c>
      <c r="I131" s="24" t="s">
        <v>70</v>
      </c>
      <c r="J131" t="s">
        <v>25</v>
      </c>
      <c r="N131" s="2" t="s">
        <v>107</v>
      </c>
    </row>
    <row r="132" spans="1:18" ht="16" x14ac:dyDescent="0.2">
      <c r="A132" s="24" t="s">
        <v>111</v>
      </c>
      <c r="B132" s="24" t="s">
        <v>114</v>
      </c>
      <c r="C132" s="24" t="s">
        <v>58</v>
      </c>
      <c r="D132" t="s">
        <v>25</v>
      </c>
      <c r="H132" s="5">
        <v>131</v>
      </c>
      <c r="I132" s="24" t="s">
        <v>58</v>
      </c>
      <c r="J132" t="s">
        <v>25</v>
      </c>
      <c r="N132" s="2" t="s">
        <v>107</v>
      </c>
    </row>
    <row r="133" spans="1:18" ht="16" x14ac:dyDescent="0.2">
      <c r="A133" s="24" t="s">
        <v>111</v>
      </c>
      <c r="B133" s="24" t="s">
        <v>114</v>
      </c>
      <c r="C133" s="24" t="s">
        <v>80</v>
      </c>
      <c r="D133" t="s">
        <v>25</v>
      </c>
      <c r="H133" s="5">
        <v>132</v>
      </c>
      <c r="I133" s="24" t="s">
        <v>80</v>
      </c>
      <c r="J133" t="s">
        <v>25</v>
      </c>
      <c r="N133" s="2" t="s">
        <v>107</v>
      </c>
    </row>
    <row r="134" spans="1:18" ht="16" x14ac:dyDescent="0.2">
      <c r="A134" s="24" t="s">
        <v>111</v>
      </c>
      <c r="B134" s="24" t="s">
        <v>114</v>
      </c>
      <c r="C134" s="24" t="s">
        <v>81</v>
      </c>
      <c r="D134" t="s">
        <v>25</v>
      </c>
      <c r="H134" s="4">
        <v>133</v>
      </c>
      <c r="I134" s="24" t="s">
        <v>81</v>
      </c>
      <c r="J134" t="s">
        <v>25</v>
      </c>
      <c r="N134" s="2" t="s">
        <v>107</v>
      </c>
    </row>
    <row r="135" spans="1:18" ht="16" x14ac:dyDescent="0.2">
      <c r="A135" s="24" t="s">
        <v>111</v>
      </c>
      <c r="B135" s="24" t="s">
        <v>114</v>
      </c>
      <c r="C135" s="24" t="s">
        <v>78</v>
      </c>
      <c r="D135" t="s">
        <v>25</v>
      </c>
      <c r="H135" s="5">
        <v>134</v>
      </c>
      <c r="I135" s="24" t="s">
        <v>78</v>
      </c>
      <c r="J135" t="s">
        <v>25</v>
      </c>
      <c r="N135" s="2" t="s">
        <v>107</v>
      </c>
    </row>
    <row r="136" spans="1:18" ht="16" x14ac:dyDescent="0.2">
      <c r="A136" s="24" t="s">
        <v>111</v>
      </c>
      <c r="B136" s="24" t="s">
        <v>114</v>
      </c>
      <c r="C136" s="24" t="s">
        <v>79</v>
      </c>
      <c r="D136" t="s">
        <v>25</v>
      </c>
      <c r="H136" s="5">
        <v>135</v>
      </c>
      <c r="I136" s="24" t="s">
        <v>79</v>
      </c>
      <c r="J136" t="s">
        <v>25</v>
      </c>
      <c r="N136" s="2" t="s">
        <v>107</v>
      </c>
    </row>
    <row r="137" spans="1:18" ht="16" x14ac:dyDescent="0.2">
      <c r="A137" s="24" t="s">
        <v>111</v>
      </c>
      <c r="B137" s="24" t="s">
        <v>114</v>
      </c>
      <c r="C137" s="24" t="s">
        <v>76</v>
      </c>
      <c r="D137" t="s">
        <v>25</v>
      </c>
      <c r="H137" s="4">
        <v>136</v>
      </c>
      <c r="I137" s="24" t="s">
        <v>76</v>
      </c>
      <c r="J137" t="s">
        <v>25</v>
      </c>
      <c r="N137" s="2" t="s">
        <v>107</v>
      </c>
    </row>
    <row r="138" spans="1:18" ht="16" x14ac:dyDescent="0.2">
      <c r="A138" s="24" t="s">
        <v>111</v>
      </c>
      <c r="B138" s="24" t="s">
        <v>114</v>
      </c>
      <c r="C138" s="24" t="s">
        <v>77</v>
      </c>
      <c r="D138" t="s">
        <v>25</v>
      </c>
      <c r="H138" s="5">
        <v>137</v>
      </c>
      <c r="I138" s="24" t="s">
        <v>77</v>
      </c>
      <c r="J138" t="s">
        <v>25</v>
      </c>
      <c r="N138" s="2" t="s">
        <v>107</v>
      </c>
    </row>
    <row r="139" spans="1:18" ht="16" x14ac:dyDescent="0.2">
      <c r="A139" s="24" t="s">
        <v>111</v>
      </c>
      <c r="B139" s="24" t="s">
        <v>114</v>
      </c>
      <c r="C139" s="24" t="s">
        <v>74</v>
      </c>
      <c r="D139" t="s">
        <v>25</v>
      </c>
      <c r="H139" s="5">
        <v>138</v>
      </c>
      <c r="I139" s="24" t="s">
        <v>74</v>
      </c>
      <c r="J139" t="s">
        <v>25</v>
      </c>
      <c r="N139" s="2" t="s">
        <v>107</v>
      </c>
    </row>
    <row r="140" spans="1:18" ht="16" x14ac:dyDescent="0.2">
      <c r="A140" s="24" t="s">
        <v>111</v>
      </c>
      <c r="B140" s="24" t="s">
        <v>114</v>
      </c>
      <c r="C140" s="24" t="s">
        <v>75</v>
      </c>
      <c r="D140" t="s">
        <v>25</v>
      </c>
      <c r="H140" s="4">
        <v>139</v>
      </c>
      <c r="I140" s="24" t="s">
        <v>75</v>
      </c>
      <c r="J140" t="s">
        <v>25</v>
      </c>
      <c r="N140" s="2" t="s">
        <v>107</v>
      </c>
    </row>
    <row r="141" spans="1:18" ht="16" x14ac:dyDescent="0.2">
      <c r="A141" s="24" t="s">
        <v>111</v>
      </c>
      <c r="B141" s="24" t="s">
        <v>114</v>
      </c>
      <c r="C141" s="24" t="s">
        <v>82</v>
      </c>
      <c r="D141" t="s">
        <v>25</v>
      </c>
      <c r="H141" s="5">
        <v>140</v>
      </c>
      <c r="I141" s="24" t="s">
        <v>82</v>
      </c>
      <c r="J141" t="s">
        <v>25</v>
      </c>
      <c r="N141" s="2" t="s">
        <v>107</v>
      </c>
    </row>
    <row r="142" spans="1:18" ht="16" x14ac:dyDescent="0.2">
      <c r="A142" s="24" t="s">
        <v>111</v>
      </c>
      <c r="B142" s="24" t="s">
        <v>114</v>
      </c>
      <c r="C142" s="24" t="s">
        <v>73</v>
      </c>
      <c r="D142" t="s">
        <v>25</v>
      </c>
      <c r="H142" s="4">
        <v>141</v>
      </c>
      <c r="I142" s="24" t="s">
        <v>73</v>
      </c>
      <c r="J142" t="s">
        <v>25</v>
      </c>
      <c r="N142" s="2" t="s">
        <v>107</v>
      </c>
    </row>
    <row r="143" spans="1:18" ht="16" x14ac:dyDescent="0.2">
      <c r="A143" s="24" t="s">
        <v>111</v>
      </c>
      <c r="B143" s="24" t="s">
        <v>114</v>
      </c>
      <c r="C143" s="24" t="s">
        <v>94</v>
      </c>
      <c r="D143" t="s">
        <v>95</v>
      </c>
      <c r="H143" s="5">
        <v>142</v>
      </c>
      <c r="I143" s="24" t="s">
        <v>94</v>
      </c>
      <c r="J143" t="s">
        <v>95</v>
      </c>
      <c r="N143" s="2"/>
      <c r="R143" t="s">
        <v>107</v>
      </c>
    </row>
    <row r="144" spans="1:18" ht="16" x14ac:dyDescent="0.2">
      <c r="A144" s="24" t="s">
        <v>111</v>
      </c>
      <c r="B144" s="24" t="s">
        <v>114</v>
      </c>
      <c r="C144" s="24" t="s">
        <v>96</v>
      </c>
      <c r="D144" t="s">
        <v>97</v>
      </c>
      <c r="H144" s="4">
        <v>143</v>
      </c>
      <c r="I144" s="24" t="s">
        <v>96</v>
      </c>
      <c r="J144" t="s">
        <v>97</v>
      </c>
      <c r="N144" s="2"/>
      <c r="O144" t="s">
        <v>543</v>
      </c>
    </row>
    <row r="145" spans="1:14" ht="16" x14ac:dyDescent="0.2">
      <c r="A145" s="24" t="s">
        <v>111</v>
      </c>
      <c r="B145" s="24" t="s">
        <v>114</v>
      </c>
      <c r="C145" s="24" t="s">
        <v>23</v>
      </c>
      <c r="F145" s="17" t="s">
        <v>205</v>
      </c>
      <c r="H145" s="5">
        <v>144</v>
      </c>
      <c r="I145" s="24" t="s">
        <v>31</v>
      </c>
      <c r="J145" t="s">
        <v>25</v>
      </c>
      <c r="N145" s="2" t="s">
        <v>107</v>
      </c>
    </row>
    <row r="146" spans="1:14" ht="16" x14ac:dyDescent="0.2">
      <c r="A146" s="24" t="s">
        <v>111</v>
      </c>
      <c r="B146" s="24" t="s">
        <v>114</v>
      </c>
      <c r="C146" s="24" t="s">
        <v>23</v>
      </c>
      <c r="F146" s="17" t="s">
        <v>206</v>
      </c>
      <c r="H146" s="4">
        <v>145</v>
      </c>
      <c r="I146" s="24" t="s">
        <v>207</v>
      </c>
      <c r="J146" t="s">
        <v>25</v>
      </c>
      <c r="N146" s="2" t="s">
        <v>107</v>
      </c>
    </row>
    <row r="147" spans="1:14" ht="16" x14ac:dyDescent="0.2">
      <c r="A147" s="24" t="s">
        <v>111</v>
      </c>
      <c r="B147" s="24" t="s">
        <v>114</v>
      </c>
      <c r="C147" s="24" t="s">
        <v>23</v>
      </c>
      <c r="F147" t="s">
        <v>295</v>
      </c>
      <c r="H147" s="5">
        <v>146</v>
      </c>
      <c r="I147" s="24" t="s">
        <v>209</v>
      </c>
      <c r="J147" t="s">
        <v>25</v>
      </c>
      <c r="N147" s="2" t="s">
        <v>107</v>
      </c>
    </row>
    <row r="148" spans="1:14" ht="16" x14ac:dyDescent="0.2">
      <c r="A148" s="24" t="s">
        <v>111</v>
      </c>
      <c r="C148" s="24" t="s">
        <v>23</v>
      </c>
      <c r="H148" s="4">
        <v>147</v>
      </c>
      <c r="I148" s="62" t="s">
        <v>106</v>
      </c>
      <c r="J148" s="63" t="s">
        <v>25</v>
      </c>
      <c r="N148" s="2"/>
    </row>
    <row r="149" spans="1:14" ht="48" x14ac:dyDescent="0.2">
      <c r="A149" s="24" t="s">
        <v>111</v>
      </c>
      <c r="C149" s="24" t="s">
        <v>23</v>
      </c>
      <c r="G149" s="50" t="s">
        <v>522</v>
      </c>
      <c r="H149" s="5">
        <v>148</v>
      </c>
      <c r="I149" s="28" t="s">
        <v>516</v>
      </c>
      <c r="J149" t="s">
        <v>25</v>
      </c>
      <c r="N149" s="2"/>
    </row>
    <row r="150" spans="1:14" ht="64" x14ac:dyDescent="0.2">
      <c r="A150" s="24" t="s">
        <v>111</v>
      </c>
      <c r="C150" s="24" t="s">
        <v>23</v>
      </c>
      <c r="G150" s="50" t="s">
        <v>523</v>
      </c>
      <c r="H150" s="4">
        <v>149</v>
      </c>
      <c r="I150" s="28" t="s">
        <v>517</v>
      </c>
      <c r="J150" t="s">
        <v>97</v>
      </c>
      <c r="N150" s="2"/>
    </row>
    <row r="151" spans="1:14" ht="48" x14ac:dyDescent="0.2">
      <c r="A151" s="24" t="s">
        <v>111</v>
      </c>
      <c r="C151" s="24" t="s">
        <v>23</v>
      </c>
      <c r="G151" s="50" t="s">
        <v>520</v>
      </c>
      <c r="H151" s="5">
        <v>150</v>
      </c>
      <c r="I151" s="28" t="s">
        <v>518</v>
      </c>
      <c r="J151" t="s">
        <v>97</v>
      </c>
      <c r="N151" s="2"/>
    </row>
    <row r="152" spans="1:14" ht="48" x14ac:dyDescent="0.2">
      <c r="A152" s="24" t="s">
        <v>111</v>
      </c>
      <c r="C152" s="24" t="s">
        <v>23</v>
      </c>
      <c r="G152" s="50" t="s">
        <v>521</v>
      </c>
      <c r="H152" s="4">
        <v>151</v>
      </c>
      <c r="I152" s="28" t="s">
        <v>519</v>
      </c>
      <c r="J152" t="s">
        <v>97</v>
      </c>
      <c r="N152" s="2"/>
    </row>
    <row r="153" spans="1:14" x14ac:dyDescent="0.2">
      <c r="I153" s="28"/>
    </row>
  </sheetData>
  <conditionalFormatting sqref="C1:C147 C149:C1048576">
    <cfRule type="duplicateValues" dxfId="125" priority="3"/>
  </conditionalFormatting>
  <conditionalFormatting sqref="F2">
    <cfRule type="duplicateValues" dxfId="124" priority="17"/>
  </conditionalFormatting>
  <conditionalFormatting sqref="C148">
    <cfRule type="duplicateValues" dxfId="123" priority="1"/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F7E84-8EBF-2C4C-8EAE-372E301A17FA}">
  <sheetPr codeName="Sheet4"/>
  <dimension ref="A1:H34"/>
  <sheetViews>
    <sheetView workbookViewId="0">
      <selection activeCell="D2" sqref="D2"/>
    </sheetView>
  </sheetViews>
  <sheetFormatPr baseColWidth="10" defaultRowHeight="15" x14ac:dyDescent="0.2"/>
  <cols>
    <col min="1" max="1" width="15.33203125" bestFit="1" customWidth="1"/>
    <col min="2" max="2" width="14.5" bestFit="1" customWidth="1"/>
    <col min="3" max="3" width="7.33203125" bestFit="1" customWidth="1"/>
    <col min="4" max="4" width="34.33203125" customWidth="1"/>
    <col min="5" max="5" width="19.1640625" bestFit="1" customWidth="1"/>
    <col min="6" max="6" width="16.83203125" bestFit="1" customWidth="1"/>
    <col min="7" max="7" width="15.6640625" bestFit="1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ht="32" x14ac:dyDescent="0.2">
      <c r="A2" s="49" t="s">
        <v>509</v>
      </c>
      <c r="B2" t="s">
        <v>214</v>
      </c>
      <c r="C2" t="s">
        <v>215</v>
      </c>
      <c r="D2" s="1" t="s">
        <v>311</v>
      </c>
      <c r="E2">
        <v>1</v>
      </c>
    </row>
    <row r="3" spans="1:8" x14ac:dyDescent="0.2">
      <c r="B3" s="16"/>
    </row>
    <row r="4" spans="1:8" x14ac:dyDescent="0.2">
      <c r="B4" s="16"/>
    </row>
    <row r="5" spans="1:8" x14ac:dyDescent="0.2">
      <c r="B5" s="16"/>
    </row>
    <row r="6" spans="1:8" x14ac:dyDescent="0.2">
      <c r="B6" s="16"/>
    </row>
    <row r="7" spans="1:8" x14ac:dyDescent="0.2">
      <c r="B7" s="16"/>
    </row>
    <row r="8" spans="1:8" x14ac:dyDescent="0.2">
      <c r="B8" s="16"/>
    </row>
    <row r="9" spans="1:8" x14ac:dyDescent="0.2">
      <c r="B9" s="16"/>
    </row>
    <row r="10" spans="1:8" x14ac:dyDescent="0.2">
      <c r="B10" s="16"/>
    </row>
    <row r="11" spans="1:8" x14ac:dyDescent="0.2">
      <c r="B11" s="16"/>
    </row>
    <row r="12" spans="1:8" x14ac:dyDescent="0.2">
      <c r="B12" s="16"/>
    </row>
    <row r="13" spans="1:8" x14ac:dyDescent="0.2">
      <c r="B13" s="16"/>
    </row>
    <row r="14" spans="1:8" x14ac:dyDescent="0.2">
      <c r="B14" s="16"/>
    </row>
    <row r="15" spans="1:8" x14ac:dyDescent="0.2">
      <c r="B15" s="16"/>
    </row>
    <row r="16" spans="1:8" x14ac:dyDescent="0.2">
      <c r="B16" s="16"/>
    </row>
    <row r="17" spans="2:2" x14ac:dyDescent="0.2">
      <c r="B17" s="16"/>
    </row>
    <row r="18" spans="2:2" x14ac:dyDescent="0.2">
      <c r="B18" s="16"/>
    </row>
    <row r="19" spans="2:2" x14ac:dyDescent="0.2">
      <c r="B19" s="16"/>
    </row>
    <row r="20" spans="2:2" x14ac:dyDescent="0.2">
      <c r="B20" s="16"/>
    </row>
    <row r="21" spans="2:2" x14ac:dyDescent="0.2">
      <c r="B21" s="16"/>
    </row>
    <row r="22" spans="2:2" x14ac:dyDescent="0.2">
      <c r="B22" s="16"/>
    </row>
    <row r="23" spans="2:2" x14ac:dyDescent="0.2">
      <c r="B23" s="16"/>
    </row>
    <row r="24" spans="2:2" x14ac:dyDescent="0.2">
      <c r="B24" s="16"/>
    </row>
    <row r="25" spans="2:2" x14ac:dyDescent="0.2">
      <c r="B25" s="16"/>
    </row>
    <row r="26" spans="2:2" x14ac:dyDescent="0.2">
      <c r="B26" s="16"/>
    </row>
    <row r="27" spans="2:2" x14ac:dyDescent="0.2">
      <c r="B27" s="16"/>
    </row>
    <row r="28" spans="2:2" x14ac:dyDescent="0.2">
      <c r="B28" s="16"/>
    </row>
    <row r="29" spans="2:2" x14ac:dyDescent="0.2">
      <c r="B29" s="16"/>
    </row>
    <row r="30" spans="2:2" x14ac:dyDescent="0.2">
      <c r="B30" s="16"/>
    </row>
    <row r="31" spans="2:2" x14ac:dyDescent="0.2">
      <c r="B31" s="16"/>
    </row>
    <row r="32" spans="2:2" x14ac:dyDescent="0.2">
      <c r="B32" s="16"/>
    </row>
    <row r="33" spans="2:2" x14ac:dyDescent="0.2">
      <c r="B33" s="16"/>
    </row>
    <row r="34" spans="2:2" x14ac:dyDescent="0.2">
      <c r="B34" s="16"/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28B56-0988-194D-ABF0-2EB52D3667A0}">
  <sheetPr codeName="Sheet5"/>
  <dimension ref="A1:V151"/>
  <sheetViews>
    <sheetView workbookViewId="0">
      <selection activeCell="G135" sqref="G135"/>
    </sheetView>
  </sheetViews>
  <sheetFormatPr baseColWidth="10" defaultColWidth="8.83203125" defaultRowHeight="15" x14ac:dyDescent="0.2"/>
  <cols>
    <col min="1" max="1" width="15.33203125" style="24" bestFit="1" customWidth="1"/>
    <col min="2" max="2" width="13.5" style="24" bestFit="1" customWidth="1"/>
    <col min="3" max="3" width="33" customWidth="1"/>
    <col min="4" max="4" width="13.6640625" bestFit="1" customWidth="1"/>
    <col min="5" max="5" width="16.83203125" bestFit="1" customWidth="1"/>
    <col min="6" max="6" width="25.6640625" bestFit="1" customWidth="1"/>
    <col min="7" max="7" width="24.1640625" customWidth="1"/>
    <col min="8" max="8" width="9" bestFit="1" customWidth="1"/>
    <col min="9" max="9" width="33.1640625" customWidth="1"/>
    <col min="10" max="10" width="21.1640625" bestFit="1" customWidth="1"/>
    <col min="11" max="11" width="21.1640625" customWidth="1"/>
    <col min="12" max="12" width="15.6640625" customWidth="1"/>
    <col min="13" max="13" width="27" bestFit="1" customWidth="1"/>
    <col min="14" max="14" width="10" bestFit="1" customWidth="1"/>
    <col min="15" max="15" width="10" customWidth="1"/>
    <col min="16" max="16" width="28.83203125" customWidth="1"/>
    <col min="17" max="17" width="35.83203125" customWidth="1"/>
    <col min="18" max="18" width="16.33203125" bestFit="1" customWidth="1"/>
    <col min="19" max="19" width="12.1640625" bestFit="1" customWidth="1"/>
    <col min="20" max="20" width="15.33203125" bestFit="1" customWidth="1"/>
    <col min="21" max="21" width="16.6640625" bestFit="1" customWidth="1"/>
    <col min="22" max="22" width="12" bestFit="1" customWidth="1"/>
  </cols>
  <sheetData>
    <row r="1" spans="1:22" ht="16" x14ac:dyDescent="0.2">
      <c r="A1" s="24" t="s">
        <v>0</v>
      </c>
      <c r="B1" s="24" t="s">
        <v>1</v>
      </c>
      <c r="C1" s="11" t="s">
        <v>9</v>
      </c>
      <c r="D1" s="11" t="s">
        <v>10</v>
      </c>
      <c r="E1" s="11" t="s">
        <v>11</v>
      </c>
      <c r="F1" s="11" t="s">
        <v>12</v>
      </c>
      <c r="G1" s="11" t="s">
        <v>13</v>
      </c>
      <c r="H1" t="s">
        <v>14</v>
      </c>
      <c r="I1" s="11" t="s">
        <v>15</v>
      </c>
      <c r="J1" s="11" t="s">
        <v>16</v>
      </c>
      <c r="K1" s="11" t="s">
        <v>106</v>
      </c>
      <c r="L1" s="56" t="s">
        <v>559</v>
      </c>
      <c r="M1" s="11" t="s">
        <v>17</v>
      </c>
      <c r="N1" s="11" t="s">
        <v>18</v>
      </c>
      <c r="O1" s="57" t="s">
        <v>196</v>
      </c>
      <c r="P1" s="1" t="s">
        <v>515</v>
      </c>
      <c r="Q1" s="51" t="s">
        <v>514</v>
      </c>
      <c r="R1" s="11" t="s">
        <v>19</v>
      </c>
      <c r="S1" s="11" t="s">
        <v>20</v>
      </c>
      <c r="T1" s="11" t="s">
        <v>21</v>
      </c>
      <c r="U1" s="11" t="s">
        <v>22</v>
      </c>
      <c r="V1" s="11" t="s">
        <v>197</v>
      </c>
    </row>
    <row r="2" spans="1:22" ht="160" x14ac:dyDescent="0.2">
      <c r="A2" s="49" t="s">
        <v>509</v>
      </c>
      <c r="B2" s="1" t="s">
        <v>215</v>
      </c>
      <c r="C2" s="1" t="s">
        <v>23</v>
      </c>
      <c r="E2" s="4"/>
      <c r="F2" s="1" t="s">
        <v>510</v>
      </c>
      <c r="G2" s="4"/>
      <c r="H2">
        <v>1</v>
      </c>
      <c r="I2" s="4" t="s">
        <v>208</v>
      </c>
      <c r="J2" s="3" t="s">
        <v>195</v>
      </c>
      <c r="K2" s="3"/>
      <c r="L2" s="4" t="s">
        <v>560</v>
      </c>
      <c r="M2" s="4" t="s">
        <v>524</v>
      </c>
      <c r="N2" s="3" t="s">
        <v>26</v>
      </c>
      <c r="O2" s="33"/>
      <c r="P2" s="1" t="s">
        <v>538</v>
      </c>
      <c r="Q2" s="1" t="s">
        <v>539</v>
      </c>
      <c r="R2" s="3"/>
      <c r="S2" s="3"/>
      <c r="T2" s="3"/>
      <c r="U2" s="3"/>
      <c r="V2" s="4"/>
    </row>
    <row r="3" spans="1:22" ht="16" x14ac:dyDescent="0.2">
      <c r="A3" s="49" t="s">
        <v>509</v>
      </c>
      <c r="B3" s="24" t="s">
        <v>215</v>
      </c>
      <c r="C3" s="28" t="s">
        <v>116</v>
      </c>
      <c r="D3" s="28" t="s">
        <v>195</v>
      </c>
      <c r="H3">
        <v>2</v>
      </c>
      <c r="I3" s="28" t="s">
        <v>116</v>
      </c>
      <c r="J3" s="28" t="s">
        <v>195</v>
      </c>
      <c r="K3" s="28" t="s">
        <v>107</v>
      </c>
      <c r="N3" t="s">
        <v>26</v>
      </c>
      <c r="O3" t="s">
        <v>542</v>
      </c>
      <c r="P3" s="2"/>
      <c r="Q3" s="2" t="s">
        <v>536</v>
      </c>
    </row>
    <row r="4" spans="1:22" ht="16" x14ac:dyDescent="0.2">
      <c r="A4" s="49" t="s">
        <v>509</v>
      </c>
      <c r="B4" s="24" t="s">
        <v>215</v>
      </c>
      <c r="C4" s="28" t="s">
        <v>235</v>
      </c>
      <c r="D4" s="28" t="s">
        <v>25</v>
      </c>
      <c r="H4">
        <v>3</v>
      </c>
      <c r="I4" s="28" t="s">
        <v>235</v>
      </c>
      <c r="J4" s="28" t="s">
        <v>25</v>
      </c>
      <c r="K4" s="28" t="s">
        <v>107</v>
      </c>
    </row>
    <row r="5" spans="1:22" ht="16" x14ac:dyDescent="0.2">
      <c r="A5" s="49" t="s">
        <v>509</v>
      </c>
      <c r="B5" s="24" t="s">
        <v>215</v>
      </c>
      <c r="C5" s="28" t="s">
        <v>236</v>
      </c>
      <c r="D5" s="28" t="s">
        <v>25</v>
      </c>
      <c r="H5">
        <v>4</v>
      </c>
      <c r="I5" s="28" t="s">
        <v>236</v>
      </c>
      <c r="J5" s="28" t="s">
        <v>25</v>
      </c>
      <c r="K5" s="28" t="s">
        <v>107</v>
      </c>
    </row>
    <row r="6" spans="1:22" ht="16" x14ac:dyDescent="0.2">
      <c r="A6" s="49" t="s">
        <v>509</v>
      </c>
      <c r="B6" s="24" t="s">
        <v>215</v>
      </c>
      <c r="C6" s="28" t="s">
        <v>237</v>
      </c>
      <c r="D6" s="28" t="s">
        <v>25</v>
      </c>
      <c r="H6">
        <v>5</v>
      </c>
      <c r="I6" s="28" t="s">
        <v>237</v>
      </c>
      <c r="J6" s="28" t="s">
        <v>25</v>
      </c>
      <c r="K6" s="28" t="s">
        <v>107</v>
      </c>
    </row>
    <row r="7" spans="1:22" ht="16" x14ac:dyDescent="0.2">
      <c r="A7" s="49" t="s">
        <v>509</v>
      </c>
      <c r="B7" s="24" t="s">
        <v>215</v>
      </c>
      <c r="C7" s="28" t="s">
        <v>216</v>
      </c>
      <c r="D7" s="28" t="s">
        <v>25</v>
      </c>
      <c r="H7">
        <v>6</v>
      </c>
      <c r="I7" s="28" t="s">
        <v>216</v>
      </c>
      <c r="J7" s="28" t="s">
        <v>25</v>
      </c>
      <c r="K7" s="28" t="s">
        <v>107</v>
      </c>
    </row>
    <row r="8" spans="1:22" ht="16" x14ac:dyDescent="0.2">
      <c r="A8" s="49" t="s">
        <v>509</v>
      </c>
      <c r="B8" s="24" t="s">
        <v>215</v>
      </c>
      <c r="C8" s="28" t="s">
        <v>250</v>
      </c>
      <c r="D8" s="28" t="s">
        <v>25</v>
      </c>
      <c r="H8">
        <v>7</v>
      </c>
      <c r="I8" s="28" t="s">
        <v>250</v>
      </c>
      <c r="J8" s="28" t="s">
        <v>25</v>
      </c>
      <c r="K8" s="28" t="s">
        <v>107</v>
      </c>
    </row>
    <row r="9" spans="1:22" ht="16" x14ac:dyDescent="0.2">
      <c r="A9" s="49" t="s">
        <v>509</v>
      </c>
      <c r="B9" s="24" t="s">
        <v>215</v>
      </c>
      <c r="C9" s="28" t="s">
        <v>217</v>
      </c>
      <c r="D9" s="28" t="s">
        <v>25</v>
      </c>
      <c r="H9">
        <v>8</v>
      </c>
      <c r="I9" s="28" t="s">
        <v>217</v>
      </c>
      <c r="J9" s="28" t="s">
        <v>25</v>
      </c>
      <c r="K9" s="28" t="s">
        <v>107</v>
      </c>
    </row>
    <row r="10" spans="1:22" ht="16" x14ac:dyDescent="0.2">
      <c r="A10" s="49" t="s">
        <v>509</v>
      </c>
      <c r="B10" s="24" t="s">
        <v>215</v>
      </c>
      <c r="C10" s="28" t="s">
        <v>277</v>
      </c>
      <c r="D10" s="28" t="s">
        <v>25</v>
      </c>
      <c r="H10">
        <v>9</v>
      </c>
      <c r="I10" s="28" t="s">
        <v>277</v>
      </c>
      <c r="J10" s="28" t="s">
        <v>25</v>
      </c>
      <c r="K10" s="28" t="s">
        <v>107</v>
      </c>
    </row>
    <row r="11" spans="1:22" ht="16" x14ac:dyDescent="0.2">
      <c r="A11" s="49" t="s">
        <v>509</v>
      </c>
      <c r="B11" s="24" t="s">
        <v>215</v>
      </c>
      <c r="C11" s="28" t="s">
        <v>281</v>
      </c>
      <c r="D11" s="28" t="s">
        <v>25</v>
      </c>
      <c r="H11">
        <v>10</v>
      </c>
      <c r="I11" s="28" t="s">
        <v>281</v>
      </c>
      <c r="J11" s="28" t="s">
        <v>25</v>
      </c>
      <c r="K11" s="28" t="s">
        <v>107</v>
      </c>
    </row>
    <row r="12" spans="1:22" ht="16" x14ac:dyDescent="0.2">
      <c r="A12" s="49" t="s">
        <v>509</v>
      </c>
      <c r="B12" s="24" t="s">
        <v>215</v>
      </c>
      <c r="C12" s="28" t="s">
        <v>280</v>
      </c>
      <c r="D12" s="28" t="s">
        <v>25</v>
      </c>
      <c r="H12">
        <v>11</v>
      </c>
      <c r="I12" s="28" t="s">
        <v>280</v>
      </c>
      <c r="J12" s="28" t="s">
        <v>25</v>
      </c>
      <c r="K12" s="28" t="s">
        <v>107</v>
      </c>
    </row>
    <row r="13" spans="1:22" ht="16" x14ac:dyDescent="0.2">
      <c r="A13" s="49" t="s">
        <v>509</v>
      </c>
      <c r="B13" s="24" t="s">
        <v>215</v>
      </c>
      <c r="C13" s="28" t="s">
        <v>282</v>
      </c>
      <c r="D13" s="28" t="s">
        <v>25</v>
      </c>
      <c r="H13">
        <v>12</v>
      </c>
      <c r="I13" s="28" t="s">
        <v>282</v>
      </c>
      <c r="J13" s="28" t="s">
        <v>25</v>
      </c>
      <c r="K13" s="28" t="s">
        <v>107</v>
      </c>
    </row>
    <row r="14" spans="1:22" ht="16" x14ac:dyDescent="0.2">
      <c r="A14" s="49" t="s">
        <v>509</v>
      </c>
      <c r="B14" s="24" t="s">
        <v>215</v>
      </c>
      <c r="C14" s="28" t="s">
        <v>247</v>
      </c>
      <c r="D14" s="28" t="s">
        <v>25</v>
      </c>
      <c r="H14">
        <v>13</v>
      </c>
      <c r="I14" s="28" t="s">
        <v>247</v>
      </c>
      <c r="J14" s="28" t="s">
        <v>25</v>
      </c>
      <c r="K14" s="28" t="s">
        <v>107</v>
      </c>
    </row>
    <row r="15" spans="1:22" ht="16" x14ac:dyDescent="0.2">
      <c r="A15" s="49" t="s">
        <v>509</v>
      </c>
      <c r="B15" s="24" t="s">
        <v>215</v>
      </c>
      <c r="C15" s="28" t="s">
        <v>267</v>
      </c>
      <c r="D15" s="28" t="s">
        <v>25</v>
      </c>
      <c r="H15">
        <v>14</v>
      </c>
      <c r="I15" s="28" t="s">
        <v>267</v>
      </c>
      <c r="J15" s="28" t="s">
        <v>25</v>
      </c>
      <c r="K15" s="28" t="s">
        <v>107</v>
      </c>
    </row>
    <row r="16" spans="1:22" ht="16" x14ac:dyDescent="0.2">
      <c r="A16" s="49" t="s">
        <v>509</v>
      </c>
      <c r="B16" s="24" t="s">
        <v>215</v>
      </c>
      <c r="C16" s="28" t="s">
        <v>261</v>
      </c>
      <c r="D16" s="28" t="s">
        <v>25</v>
      </c>
      <c r="H16">
        <v>15</v>
      </c>
      <c r="I16" s="28" t="s">
        <v>261</v>
      </c>
      <c r="J16" s="28" t="s">
        <v>25</v>
      </c>
      <c r="K16" s="28" t="s">
        <v>107</v>
      </c>
    </row>
    <row r="17" spans="1:11" ht="16" x14ac:dyDescent="0.2">
      <c r="A17" s="49" t="s">
        <v>509</v>
      </c>
      <c r="B17" s="24" t="s">
        <v>215</v>
      </c>
      <c r="C17" s="28" t="s">
        <v>260</v>
      </c>
      <c r="D17" s="28" t="s">
        <v>25</v>
      </c>
      <c r="H17">
        <v>16</v>
      </c>
      <c r="I17" s="28" t="s">
        <v>260</v>
      </c>
      <c r="J17" s="28" t="s">
        <v>25</v>
      </c>
      <c r="K17" s="28" t="s">
        <v>107</v>
      </c>
    </row>
    <row r="18" spans="1:11" ht="16" x14ac:dyDescent="0.2">
      <c r="A18" s="49" t="s">
        <v>509</v>
      </c>
      <c r="B18" s="24" t="s">
        <v>215</v>
      </c>
      <c r="C18" s="28" t="s">
        <v>288</v>
      </c>
      <c r="D18" s="28" t="s">
        <v>25</v>
      </c>
      <c r="H18">
        <v>17</v>
      </c>
      <c r="I18" s="28" t="s">
        <v>288</v>
      </c>
      <c r="J18" s="28" t="s">
        <v>25</v>
      </c>
      <c r="K18" s="28" t="s">
        <v>107</v>
      </c>
    </row>
    <row r="19" spans="1:11" ht="16" x14ac:dyDescent="0.2">
      <c r="A19" s="49" t="s">
        <v>509</v>
      </c>
      <c r="B19" s="24" t="s">
        <v>215</v>
      </c>
      <c r="C19" s="28" t="s">
        <v>219</v>
      </c>
      <c r="D19" s="28" t="s">
        <v>25</v>
      </c>
      <c r="H19">
        <v>18</v>
      </c>
      <c r="I19" s="28" t="s">
        <v>219</v>
      </c>
      <c r="J19" s="28" t="s">
        <v>25</v>
      </c>
      <c r="K19" s="28" t="s">
        <v>107</v>
      </c>
    </row>
    <row r="20" spans="1:11" ht="16" x14ac:dyDescent="0.2">
      <c r="A20" s="49" t="s">
        <v>509</v>
      </c>
      <c r="B20" s="24" t="s">
        <v>215</v>
      </c>
      <c r="C20" s="28" t="s">
        <v>220</v>
      </c>
      <c r="D20" s="28" t="s">
        <v>25</v>
      </c>
      <c r="H20">
        <v>19</v>
      </c>
      <c r="I20" s="28" t="s">
        <v>220</v>
      </c>
      <c r="J20" s="28" t="s">
        <v>25</v>
      </c>
      <c r="K20" s="28" t="s">
        <v>107</v>
      </c>
    </row>
    <row r="21" spans="1:11" ht="16" x14ac:dyDescent="0.2">
      <c r="A21" s="49" t="s">
        <v>509</v>
      </c>
      <c r="B21" s="24" t="s">
        <v>215</v>
      </c>
      <c r="C21" s="28" t="s">
        <v>253</v>
      </c>
      <c r="D21" s="28" t="s">
        <v>25</v>
      </c>
      <c r="H21">
        <v>20</v>
      </c>
      <c r="I21" s="28" t="s">
        <v>253</v>
      </c>
      <c r="J21" s="28" t="s">
        <v>25</v>
      </c>
      <c r="K21" s="28" t="s">
        <v>107</v>
      </c>
    </row>
    <row r="22" spans="1:11" ht="16" x14ac:dyDescent="0.2">
      <c r="A22" s="49" t="s">
        <v>509</v>
      </c>
      <c r="B22" s="24" t="s">
        <v>215</v>
      </c>
      <c r="C22" s="28" t="s">
        <v>252</v>
      </c>
      <c r="D22" s="28" t="s">
        <v>25</v>
      </c>
      <c r="H22">
        <v>21</v>
      </c>
      <c r="I22" s="28" t="s">
        <v>252</v>
      </c>
      <c r="J22" s="28" t="s">
        <v>25</v>
      </c>
      <c r="K22" s="28" t="s">
        <v>107</v>
      </c>
    </row>
    <row r="23" spans="1:11" ht="16" x14ac:dyDescent="0.2">
      <c r="A23" s="49" t="s">
        <v>509</v>
      </c>
      <c r="B23" s="24" t="s">
        <v>215</v>
      </c>
      <c r="C23" s="28" t="s">
        <v>256</v>
      </c>
      <c r="D23" s="28" t="s">
        <v>25</v>
      </c>
      <c r="H23">
        <v>22</v>
      </c>
      <c r="I23" s="28" t="s">
        <v>256</v>
      </c>
      <c r="J23" s="28" t="s">
        <v>25</v>
      </c>
      <c r="K23" s="28" t="s">
        <v>107</v>
      </c>
    </row>
    <row r="24" spans="1:11" ht="16" x14ac:dyDescent="0.2">
      <c r="A24" s="49" t="s">
        <v>509</v>
      </c>
      <c r="B24" s="24" t="s">
        <v>215</v>
      </c>
      <c r="C24" s="28" t="s">
        <v>254</v>
      </c>
      <c r="D24" s="28" t="s">
        <v>25</v>
      </c>
      <c r="H24">
        <v>23</v>
      </c>
      <c r="I24" s="28" t="s">
        <v>254</v>
      </c>
      <c r="J24" s="28" t="s">
        <v>25</v>
      </c>
      <c r="K24" s="28" t="s">
        <v>107</v>
      </c>
    </row>
    <row r="25" spans="1:11" ht="16" x14ac:dyDescent="0.2">
      <c r="A25" s="49" t="s">
        <v>509</v>
      </c>
      <c r="B25" s="24" t="s">
        <v>215</v>
      </c>
      <c r="C25" s="28" t="s">
        <v>290</v>
      </c>
      <c r="D25" s="28" t="s">
        <v>25</v>
      </c>
      <c r="H25">
        <v>24</v>
      </c>
      <c r="I25" s="28" t="s">
        <v>290</v>
      </c>
      <c r="J25" s="28" t="s">
        <v>25</v>
      </c>
      <c r="K25" s="28" t="s">
        <v>107</v>
      </c>
    </row>
    <row r="26" spans="1:11" ht="16" x14ac:dyDescent="0.2">
      <c r="A26" s="49" t="s">
        <v>509</v>
      </c>
      <c r="B26" s="24" t="s">
        <v>215</v>
      </c>
      <c r="C26" s="28" t="s">
        <v>259</v>
      </c>
      <c r="D26" s="28" t="s">
        <v>25</v>
      </c>
      <c r="H26">
        <v>25</v>
      </c>
      <c r="I26" s="28" t="s">
        <v>259</v>
      </c>
      <c r="J26" s="28" t="s">
        <v>25</v>
      </c>
      <c r="K26" s="28" t="s">
        <v>107</v>
      </c>
    </row>
    <row r="27" spans="1:11" ht="16" x14ac:dyDescent="0.2">
      <c r="A27" s="49" t="s">
        <v>509</v>
      </c>
      <c r="B27" s="24" t="s">
        <v>215</v>
      </c>
      <c r="C27" s="28" t="s">
        <v>188</v>
      </c>
      <c r="D27" s="28" t="s">
        <v>32</v>
      </c>
      <c r="H27">
        <v>26</v>
      </c>
      <c r="I27" s="28" t="s">
        <v>188</v>
      </c>
      <c r="J27" s="28" t="s">
        <v>32</v>
      </c>
      <c r="K27" s="28" t="s">
        <v>107</v>
      </c>
    </row>
    <row r="28" spans="1:11" ht="16" x14ac:dyDescent="0.2">
      <c r="A28" s="49" t="s">
        <v>509</v>
      </c>
      <c r="B28" s="24" t="s">
        <v>215</v>
      </c>
      <c r="C28" s="28" t="s">
        <v>224</v>
      </c>
      <c r="D28" s="28" t="s">
        <v>25</v>
      </c>
      <c r="H28">
        <v>27</v>
      </c>
      <c r="I28" s="28" t="s">
        <v>224</v>
      </c>
      <c r="J28" s="28" t="s">
        <v>25</v>
      </c>
      <c r="K28" s="28" t="s">
        <v>107</v>
      </c>
    </row>
    <row r="29" spans="1:11" ht="16" x14ac:dyDescent="0.2">
      <c r="A29" s="49" t="s">
        <v>509</v>
      </c>
      <c r="B29" s="24" t="s">
        <v>215</v>
      </c>
      <c r="C29" s="28" t="s">
        <v>240</v>
      </c>
      <c r="D29" s="28" t="s">
        <v>25</v>
      </c>
      <c r="H29">
        <v>28</v>
      </c>
      <c r="I29" s="28" t="s">
        <v>240</v>
      </c>
      <c r="J29" s="28" t="s">
        <v>25</v>
      </c>
      <c r="K29" s="28" t="s">
        <v>107</v>
      </c>
    </row>
    <row r="30" spans="1:11" ht="16" x14ac:dyDescent="0.2">
      <c r="A30" s="49" t="s">
        <v>509</v>
      </c>
      <c r="B30" s="24" t="s">
        <v>215</v>
      </c>
      <c r="C30" s="28" t="s">
        <v>249</v>
      </c>
      <c r="D30" s="28" t="s">
        <v>25</v>
      </c>
      <c r="H30">
        <v>29</v>
      </c>
      <c r="I30" s="28" t="s">
        <v>249</v>
      </c>
      <c r="J30" s="28" t="s">
        <v>25</v>
      </c>
      <c r="K30" s="28" t="s">
        <v>107</v>
      </c>
    </row>
    <row r="31" spans="1:11" ht="16" x14ac:dyDescent="0.2">
      <c r="A31" s="49" t="s">
        <v>509</v>
      </c>
      <c r="B31" s="24" t="s">
        <v>215</v>
      </c>
      <c r="C31" s="28" t="s">
        <v>231</v>
      </c>
      <c r="D31" s="28" t="s">
        <v>25</v>
      </c>
      <c r="H31">
        <v>30</v>
      </c>
      <c r="I31" s="28" t="s">
        <v>231</v>
      </c>
      <c r="J31" s="28" t="s">
        <v>25</v>
      </c>
      <c r="K31" s="28" t="s">
        <v>107</v>
      </c>
    </row>
    <row r="32" spans="1:11" ht="16" x14ac:dyDescent="0.2">
      <c r="A32" s="49" t="s">
        <v>509</v>
      </c>
      <c r="B32" s="24" t="s">
        <v>215</v>
      </c>
      <c r="C32" s="28" t="s">
        <v>233</v>
      </c>
      <c r="D32" s="28" t="s">
        <v>32</v>
      </c>
      <c r="H32">
        <v>31</v>
      </c>
      <c r="I32" s="28" t="s">
        <v>233</v>
      </c>
      <c r="J32" s="28" t="s">
        <v>32</v>
      </c>
      <c r="K32" s="28" t="s">
        <v>107</v>
      </c>
    </row>
    <row r="33" spans="1:11" ht="16" x14ac:dyDescent="0.2">
      <c r="A33" s="49" t="s">
        <v>509</v>
      </c>
      <c r="B33" s="24" t="s">
        <v>215</v>
      </c>
      <c r="C33" s="28" t="s">
        <v>229</v>
      </c>
      <c r="D33" s="28" t="s">
        <v>25</v>
      </c>
      <c r="H33">
        <v>32</v>
      </c>
      <c r="I33" s="28" t="s">
        <v>229</v>
      </c>
      <c r="J33" s="28" t="s">
        <v>25</v>
      </c>
      <c r="K33" s="28" t="s">
        <v>107</v>
      </c>
    </row>
    <row r="34" spans="1:11" ht="16" x14ac:dyDescent="0.2">
      <c r="A34" s="49" t="s">
        <v>509</v>
      </c>
      <c r="B34" s="24" t="s">
        <v>215</v>
      </c>
      <c r="C34" s="28" t="s">
        <v>255</v>
      </c>
      <c r="D34" s="28" t="s">
        <v>32</v>
      </c>
      <c r="H34">
        <v>33</v>
      </c>
      <c r="I34" s="28" t="s">
        <v>255</v>
      </c>
      <c r="J34" s="28" t="s">
        <v>32</v>
      </c>
      <c r="K34" s="28" t="s">
        <v>107</v>
      </c>
    </row>
    <row r="35" spans="1:11" ht="16" x14ac:dyDescent="0.2">
      <c r="A35" s="49" t="s">
        <v>509</v>
      </c>
      <c r="B35" s="24" t="s">
        <v>215</v>
      </c>
      <c r="C35" s="28" t="s">
        <v>269</v>
      </c>
      <c r="D35" s="28" t="s">
        <v>25</v>
      </c>
      <c r="H35">
        <v>34</v>
      </c>
      <c r="I35" s="28" t="s">
        <v>269</v>
      </c>
      <c r="J35" s="28" t="s">
        <v>25</v>
      </c>
      <c r="K35" s="28" t="s">
        <v>107</v>
      </c>
    </row>
    <row r="36" spans="1:11" ht="16" x14ac:dyDescent="0.2">
      <c r="A36" s="49" t="s">
        <v>509</v>
      </c>
      <c r="B36" s="24" t="s">
        <v>215</v>
      </c>
      <c r="C36" s="28" t="s">
        <v>92</v>
      </c>
      <c r="D36" s="28" t="s">
        <v>195</v>
      </c>
      <c r="H36">
        <v>35</v>
      </c>
      <c r="I36" s="28" t="s">
        <v>92</v>
      </c>
      <c r="J36" s="28" t="s">
        <v>195</v>
      </c>
      <c r="K36" s="28" t="s">
        <v>107</v>
      </c>
    </row>
    <row r="37" spans="1:11" ht="16" x14ac:dyDescent="0.2">
      <c r="A37" s="49" t="s">
        <v>509</v>
      </c>
      <c r="B37" s="24" t="s">
        <v>215</v>
      </c>
      <c r="C37" s="28" t="s">
        <v>187</v>
      </c>
      <c r="D37" s="28" t="s">
        <v>25</v>
      </c>
      <c r="H37">
        <v>36</v>
      </c>
      <c r="I37" s="28" t="s">
        <v>187</v>
      </c>
      <c r="J37" s="28" t="s">
        <v>25</v>
      </c>
      <c r="K37" s="28" t="s">
        <v>107</v>
      </c>
    </row>
    <row r="38" spans="1:11" ht="16" x14ac:dyDescent="0.2">
      <c r="A38" s="49" t="s">
        <v>509</v>
      </c>
      <c r="B38" s="24" t="s">
        <v>215</v>
      </c>
      <c r="C38" s="28" t="s">
        <v>218</v>
      </c>
      <c r="D38" s="28" t="s">
        <v>25</v>
      </c>
      <c r="H38">
        <v>37</v>
      </c>
      <c r="I38" s="28" t="s">
        <v>218</v>
      </c>
      <c r="J38" s="28" t="s">
        <v>25</v>
      </c>
      <c r="K38" s="28" t="s">
        <v>107</v>
      </c>
    </row>
    <row r="39" spans="1:11" ht="16" x14ac:dyDescent="0.2">
      <c r="A39" s="49" t="s">
        <v>509</v>
      </c>
      <c r="B39" s="24" t="s">
        <v>215</v>
      </c>
      <c r="C39" s="28" t="s">
        <v>279</v>
      </c>
      <c r="D39" s="28" t="s">
        <v>25</v>
      </c>
      <c r="H39">
        <v>38</v>
      </c>
      <c r="I39" s="28" t="s">
        <v>279</v>
      </c>
      <c r="J39" s="28" t="s">
        <v>25</v>
      </c>
      <c r="K39" s="28" t="s">
        <v>107</v>
      </c>
    </row>
    <row r="40" spans="1:11" ht="16" x14ac:dyDescent="0.2">
      <c r="A40" s="49" t="s">
        <v>509</v>
      </c>
      <c r="B40" s="24" t="s">
        <v>215</v>
      </c>
      <c r="C40" s="28" t="s">
        <v>287</v>
      </c>
      <c r="D40" s="28" t="s">
        <v>28</v>
      </c>
      <c r="H40">
        <v>39</v>
      </c>
      <c r="I40" s="28" t="s">
        <v>287</v>
      </c>
      <c r="J40" s="28" t="s">
        <v>28</v>
      </c>
      <c r="K40" s="28" t="s">
        <v>107</v>
      </c>
    </row>
    <row r="41" spans="1:11" ht="16" x14ac:dyDescent="0.2">
      <c r="A41" s="49" t="s">
        <v>509</v>
      </c>
      <c r="B41" s="24" t="s">
        <v>215</v>
      </c>
      <c r="C41" s="28" t="s">
        <v>86</v>
      </c>
      <c r="D41" s="28" t="s">
        <v>195</v>
      </c>
      <c r="H41">
        <v>40</v>
      </c>
      <c r="I41" s="28" t="s">
        <v>86</v>
      </c>
      <c r="J41" s="28" t="s">
        <v>195</v>
      </c>
      <c r="K41" s="28" t="s">
        <v>107</v>
      </c>
    </row>
    <row r="42" spans="1:11" ht="16" x14ac:dyDescent="0.2">
      <c r="A42" s="49" t="s">
        <v>509</v>
      </c>
      <c r="B42" s="24" t="s">
        <v>215</v>
      </c>
      <c r="C42" s="28" t="s">
        <v>89</v>
      </c>
      <c r="D42" s="28" t="s">
        <v>195</v>
      </c>
      <c r="H42">
        <v>41</v>
      </c>
      <c r="I42" s="28" t="s">
        <v>89</v>
      </c>
      <c r="J42" s="28" t="s">
        <v>195</v>
      </c>
      <c r="K42" s="28" t="s">
        <v>107</v>
      </c>
    </row>
    <row r="43" spans="1:11" ht="16" x14ac:dyDescent="0.2">
      <c r="A43" s="49" t="s">
        <v>509</v>
      </c>
      <c r="B43" s="24" t="s">
        <v>215</v>
      </c>
      <c r="C43" s="28" t="s">
        <v>262</v>
      </c>
      <c r="D43" s="28" t="s">
        <v>25</v>
      </c>
      <c r="H43">
        <v>42</v>
      </c>
      <c r="I43" s="28" t="s">
        <v>262</v>
      </c>
      <c r="J43" s="28" t="s">
        <v>25</v>
      </c>
      <c r="K43" s="28" t="s">
        <v>107</v>
      </c>
    </row>
    <row r="44" spans="1:11" ht="16" x14ac:dyDescent="0.2">
      <c r="A44" s="49" t="s">
        <v>509</v>
      </c>
      <c r="B44" s="24" t="s">
        <v>215</v>
      </c>
      <c r="C44" s="28" t="s">
        <v>251</v>
      </c>
      <c r="D44" s="28" t="s">
        <v>32</v>
      </c>
      <c r="H44">
        <v>43</v>
      </c>
      <c r="I44" s="28" t="s">
        <v>251</v>
      </c>
      <c r="J44" s="28" t="s">
        <v>32</v>
      </c>
      <c r="K44" s="28" t="s">
        <v>107</v>
      </c>
    </row>
    <row r="45" spans="1:11" ht="16" x14ac:dyDescent="0.2">
      <c r="A45" s="49" t="s">
        <v>509</v>
      </c>
      <c r="B45" s="24" t="s">
        <v>215</v>
      </c>
      <c r="C45" s="28" t="s">
        <v>59</v>
      </c>
      <c r="D45" s="28" t="s">
        <v>32</v>
      </c>
      <c r="H45">
        <v>44</v>
      </c>
      <c r="I45" s="28" t="s">
        <v>59</v>
      </c>
      <c r="J45" s="28" t="s">
        <v>32</v>
      </c>
      <c r="K45" s="28" t="s">
        <v>107</v>
      </c>
    </row>
    <row r="46" spans="1:11" ht="16" x14ac:dyDescent="0.2">
      <c r="A46" s="49" t="s">
        <v>509</v>
      </c>
      <c r="B46" s="24" t="s">
        <v>215</v>
      </c>
      <c r="C46" s="28" t="s">
        <v>273</v>
      </c>
      <c r="D46" s="28" t="s">
        <v>195</v>
      </c>
      <c r="H46">
        <v>45</v>
      </c>
      <c r="I46" s="28" t="s">
        <v>273</v>
      </c>
      <c r="J46" s="28" t="s">
        <v>195</v>
      </c>
      <c r="K46" s="28" t="s">
        <v>107</v>
      </c>
    </row>
    <row r="47" spans="1:11" ht="16" x14ac:dyDescent="0.2">
      <c r="A47" s="49" t="s">
        <v>509</v>
      </c>
      <c r="B47" s="24" t="s">
        <v>215</v>
      </c>
      <c r="C47" s="28" t="s">
        <v>225</v>
      </c>
      <c r="D47" s="28" t="s">
        <v>195</v>
      </c>
      <c r="H47">
        <v>46</v>
      </c>
      <c r="I47" s="28" t="s">
        <v>225</v>
      </c>
      <c r="J47" s="28" t="s">
        <v>195</v>
      </c>
      <c r="K47" s="28" t="s">
        <v>107</v>
      </c>
    </row>
    <row r="48" spans="1:11" ht="16" x14ac:dyDescent="0.2">
      <c r="A48" s="49" t="s">
        <v>509</v>
      </c>
      <c r="B48" s="24" t="s">
        <v>215</v>
      </c>
      <c r="C48" s="28" t="s">
        <v>244</v>
      </c>
      <c r="D48" s="28" t="s">
        <v>25</v>
      </c>
      <c r="H48">
        <v>47</v>
      </c>
      <c r="I48" s="28" t="s">
        <v>244</v>
      </c>
      <c r="J48" s="28" t="s">
        <v>25</v>
      </c>
      <c r="K48" s="28" t="s">
        <v>107</v>
      </c>
    </row>
    <row r="49" spans="1:11" ht="16" x14ac:dyDescent="0.2">
      <c r="A49" s="49" t="s">
        <v>509</v>
      </c>
      <c r="B49" s="24" t="s">
        <v>215</v>
      </c>
      <c r="C49" s="28" t="s">
        <v>118</v>
      </c>
      <c r="D49" s="28" t="s">
        <v>25</v>
      </c>
      <c r="H49">
        <v>48</v>
      </c>
      <c r="I49" s="28" t="s">
        <v>118</v>
      </c>
      <c r="J49" s="28" t="s">
        <v>25</v>
      </c>
      <c r="K49" s="28" t="s">
        <v>107</v>
      </c>
    </row>
    <row r="50" spans="1:11" ht="16" x14ac:dyDescent="0.2">
      <c r="A50" s="49" t="s">
        <v>509</v>
      </c>
      <c r="B50" s="24" t="s">
        <v>215</v>
      </c>
      <c r="C50" s="28" t="s">
        <v>274</v>
      </c>
      <c r="D50" s="28" t="s">
        <v>25</v>
      </c>
      <c r="H50">
        <v>49</v>
      </c>
      <c r="I50" s="28" t="s">
        <v>274</v>
      </c>
      <c r="J50" s="28" t="s">
        <v>25</v>
      </c>
      <c r="K50" s="28" t="s">
        <v>107</v>
      </c>
    </row>
    <row r="51" spans="1:11" ht="16" x14ac:dyDescent="0.2">
      <c r="A51" s="49" t="s">
        <v>509</v>
      </c>
      <c r="B51" s="24" t="s">
        <v>215</v>
      </c>
      <c r="C51" s="28" t="s">
        <v>283</v>
      </c>
      <c r="D51" s="28" t="s">
        <v>25</v>
      </c>
      <c r="H51">
        <v>50</v>
      </c>
      <c r="I51" s="28" t="s">
        <v>283</v>
      </c>
      <c r="J51" s="28" t="s">
        <v>25</v>
      </c>
      <c r="K51" s="28" t="s">
        <v>107</v>
      </c>
    </row>
    <row r="52" spans="1:11" ht="16" x14ac:dyDescent="0.2">
      <c r="A52" s="49" t="s">
        <v>509</v>
      </c>
      <c r="B52" s="24" t="s">
        <v>215</v>
      </c>
      <c r="C52" s="28" t="s">
        <v>258</v>
      </c>
      <c r="D52" s="28" t="s">
        <v>195</v>
      </c>
      <c r="H52">
        <v>51</v>
      </c>
      <c r="I52" s="28" t="s">
        <v>258</v>
      </c>
      <c r="J52" s="28" t="s">
        <v>195</v>
      </c>
      <c r="K52" s="28" t="s">
        <v>107</v>
      </c>
    </row>
    <row r="53" spans="1:11" ht="16" x14ac:dyDescent="0.2">
      <c r="A53" s="49" t="s">
        <v>509</v>
      </c>
      <c r="B53" s="24" t="s">
        <v>215</v>
      </c>
      <c r="C53" s="28" t="s">
        <v>241</v>
      </c>
      <c r="D53" s="28" t="s">
        <v>195</v>
      </c>
      <c r="H53">
        <v>52</v>
      </c>
      <c r="I53" s="28" t="s">
        <v>241</v>
      </c>
      <c r="J53" s="28" t="s">
        <v>195</v>
      </c>
      <c r="K53" s="28" t="s">
        <v>107</v>
      </c>
    </row>
    <row r="54" spans="1:11" ht="16" x14ac:dyDescent="0.2">
      <c r="A54" s="49" t="s">
        <v>509</v>
      </c>
      <c r="B54" s="24" t="s">
        <v>215</v>
      </c>
      <c r="C54" s="28" t="s">
        <v>222</v>
      </c>
      <c r="D54" s="28" t="s">
        <v>25</v>
      </c>
      <c r="H54">
        <v>53</v>
      </c>
      <c r="I54" s="28" t="s">
        <v>222</v>
      </c>
      <c r="J54" s="28" t="s">
        <v>25</v>
      </c>
      <c r="K54" s="28" t="s">
        <v>107</v>
      </c>
    </row>
    <row r="55" spans="1:11" ht="16" x14ac:dyDescent="0.2">
      <c r="A55" s="49" t="s">
        <v>509</v>
      </c>
      <c r="B55" s="24" t="s">
        <v>215</v>
      </c>
      <c r="C55" s="28" t="s">
        <v>271</v>
      </c>
      <c r="D55" s="28" t="s">
        <v>25</v>
      </c>
      <c r="H55">
        <v>54</v>
      </c>
      <c r="I55" s="28" t="s">
        <v>271</v>
      </c>
      <c r="J55" s="28" t="s">
        <v>25</v>
      </c>
      <c r="K55" s="28" t="s">
        <v>107</v>
      </c>
    </row>
    <row r="56" spans="1:11" ht="16" x14ac:dyDescent="0.2">
      <c r="A56" s="49" t="s">
        <v>509</v>
      </c>
      <c r="B56" s="24" t="s">
        <v>215</v>
      </c>
      <c r="C56" s="28" t="s">
        <v>289</v>
      </c>
      <c r="D56" s="28" t="s">
        <v>25</v>
      </c>
      <c r="H56">
        <v>55</v>
      </c>
      <c r="I56" s="28" t="s">
        <v>289</v>
      </c>
      <c r="J56" s="28" t="s">
        <v>25</v>
      </c>
      <c r="K56" s="28" t="s">
        <v>107</v>
      </c>
    </row>
    <row r="57" spans="1:11" ht="16" x14ac:dyDescent="0.2">
      <c r="A57" s="49" t="s">
        <v>509</v>
      </c>
      <c r="B57" s="24" t="s">
        <v>215</v>
      </c>
      <c r="C57" s="28" t="s">
        <v>268</v>
      </c>
      <c r="D57" s="28" t="s">
        <v>25</v>
      </c>
      <c r="H57">
        <v>56</v>
      </c>
      <c r="I57" s="28" t="s">
        <v>268</v>
      </c>
      <c r="J57" s="28" t="s">
        <v>25</v>
      </c>
      <c r="K57" s="28" t="s">
        <v>107</v>
      </c>
    </row>
    <row r="58" spans="1:11" ht="16" x14ac:dyDescent="0.2">
      <c r="A58" s="49" t="s">
        <v>509</v>
      </c>
      <c r="B58" s="24" t="s">
        <v>215</v>
      </c>
      <c r="C58" s="28" t="s">
        <v>286</v>
      </c>
      <c r="D58" s="28" t="s">
        <v>25</v>
      </c>
      <c r="H58">
        <v>57</v>
      </c>
      <c r="I58" s="28" t="s">
        <v>286</v>
      </c>
      <c r="J58" s="28" t="s">
        <v>25</v>
      </c>
      <c r="K58" s="28" t="s">
        <v>107</v>
      </c>
    </row>
    <row r="59" spans="1:11" ht="16" x14ac:dyDescent="0.2">
      <c r="A59" s="49" t="s">
        <v>509</v>
      </c>
      <c r="B59" s="24" t="s">
        <v>215</v>
      </c>
      <c r="C59" s="28" t="s">
        <v>230</v>
      </c>
      <c r="D59" s="28" t="s">
        <v>25</v>
      </c>
      <c r="H59">
        <v>58</v>
      </c>
      <c r="I59" s="28" t="s">
        <v>230</v>
      </c>
      <c r="J59" s="28" t="s">
        <v>25</v>
      </c>
      <c r="K59" s="28" t="s">
        <v>107</v>
      </c>
    </row>
    <row r="60" spans="1:11" ht="16" x14ac:dyDescent="0.2">
      <c r="A60" s="49" t="s">
        <v>509</v>
      </c>
      <c r="B60" s="24" t="s">
        <v>215</v>
      </c>
      <c r="C60" s="28" t="s">
        <v>270</v>
      </c>
      <c r="D60" s="28" t="s">
        <v>25</v>
      </c>
      <c r="H60">
        <v>59</v>
      </c>
      <c r="I60" s="28" t="s">
        <v>270</v>
      </c>
      <c r="J60" s="28" t="s">
        <v>25</v>
      </c>
      <c r="K60" s="28" t="s">
        <v>107</v>
      </c>
    </row>
    <row r="61" spans="1:11" ht="16" x14ac:dyDescent="0.2">
      <c r="A61" s="49" t="s">
        <v>509</v>
      </c>
      <c r="B61" s="24" t="s">
        <v>215</v>
      </c>
      <c r="C61" s="28" t="s">
        <v>265</v>
      </c>
      <c r="D61" s="28" t="s">
        <v>25</v>
      </c>
      <c r="H61">
        <v>60</v>
      </c>
      <c r="I61" s="28" t="s">
        <v>265</v>
      </c>
      <c r="J61" s="28" t="s">
        <v>25</v>
      </c>
      <c r="K61" s="28" t="s">
        <v>107</v>
      </c>
    </row>
    <row r="62" spans="1:11" ht="16" x14ac:dyDescent="0.2">
      <c r="A62" s="49" t="s">
        <v>509</v>
      </c>
      <c r="B62" s="24" t="s">
        <v>215</v>
      </c>
      <c r="C62" s="28" t="s">
        <v>238</v>
      </c>
      <c r="D62" s="28" t="s">
        <v>25</v>
      </c>
      <c r="H62">
        <v>61</v>
      </c>
      <c r="I62" s="28" t="s">
        <v>238</v>
      </c>
      <c r="J62" s="28" t="s">
        <v>25</v>
      </c>
      <c r="K62" s="28" t="s">
        <v>107</v>
      </c>
    </row>
    <row r="63" spans="1:11" ht="16" x14ac:dyDescent="0.2">
      <c r="A63" s="49" t="s">
        <v>509</v>
      </c>
      <c r="B63" s="24" t="s">
        <v>215</v>
      </c>
      <c r="C63" s="28" t="s">
        <v>221</v>
      </c>
      <c r="D63" s="28" t="s">
        <v>25</v>
      </c>
      <c r="H63">
        <v>62</v>
      </c>
      <c r="I63" s="28" t="s">
        <v>221</v>
      </c>
      <c r="J63" s="28" t="s">
        <v>25</v>
      </c>
      <c r="K63" s="28" t="s">
        <v>107</v>
      </c>
    </row>
    <row r="64" spans="1:11" ht="16" x14ac:dyDescent="0.2">
      <c r="A64" s="49" t="s">
        <v>509</v>
      </c>
      <c r="B64" s="24" t="s">
        <v>215</v>
      </c>
      <c r="C64" s="28" t="s">
        <v>257</v>
      </c>
      <c r="D64" s="28" t="s">
        <v>25</v>
      </c>
      <c r="H64">
        <v>63</v>
      </c>
      <c r="I64" s="28" t="s">
        <v>257</v>
      </c>
      <c r="J64" s="28" t="s">
        <v>25</v>
      </c>
      <c r="K64" s="28" t="s">
        <v>107</v>
      </c>
    </row>
    <row r="65" spans="1:11" ht="16" x14ac:dyDescent="0.2">
      <c r="A65" s="49" t="s">
        <v>509</v>
      </c>
      <c r="B65" s="24" t="s">
        <v>215</v>
      </c>
      <c r="C65" s="28" t="s">
        <v>243</v>
      </c>
      <c r="D65" s="28" t="s">
        <v>25</v>
      </c>
      <c r="H65">
        <v>64</v>
      </c>
      <c r="I65" s="28" t="s">
        <v>243</v>
      </c>
      <c r="J65" s="28" t="s">
        <v>25</v>
      </c>
      <c r="K65" s="28" t="s">
        <v>107</v>
      </c>
    </row>
    <row r="66" spans="1:11" ht="16" x14ac:dyDescent="0.2">
      <c r="A66" s="49" t="s">
        <v>509</v>
      </c>
      <c r="B66" s="24" t="s">
        <v>215</v>
      </c>
      <c r="C66" s="28" t="s">
        <v>239</v>
      </c>
      <c r="D66" s="28" t="s">
        <v>25</v>
      </c>
      <c r="H66">
        <v>65</v>
      </c>
      <c r="I66" s="28" t="s">
        <v>239</v>
      </c>
      <c r="J66" s="28" t="s">
        <v>25</v>
      </c>
      <c r="K66" s="28" t="s">
        <v>107</v>
      </c>
    </row>
    <row r="67" spans="1:11" ht="16" x14ac:dyDescent="0.2">
      <c r="A67" s="49" t="s">
        <v>509</v>
      </c>
      <c r="B67" s="24" t="s">
        <v>215</v>
      </c>
      <c r="C67" s="28" t="s">
        <v>285</v>
      </c>
      <c r="D67" s="28" t="s">
        <v>195</v>
      </c>
      <c r="H67">
        <v>66</v>
      </c>
      <c r="I67" s="28" t="s">
        <v>285</v>
      </c>
      <c r="J67" s="28" t="s">
        <v>195</v>
      </c>
      <c r="K67" s="28" t="s">
        <v>107</v>
      </c>
    </row>
    <row r="68" spans="1:11" ht="16" x14ac:dyDescent="0.2">
      <c r="A68" s="49" t="s">
        <v>509</v>
      </c>
      <c r="B68" s="24" t="s">
        <v>215</v>
      </c>
      <c r="C68" s="28" t="s">
        <v>223</v>
      </c>
      <c r="D68" s="28" t="s">
        <v>25</v>
      </c>
      <c r="H68">
        <v>67</v>
      </c>
      <c r="I68" s="28" t="s">
        <v>223</v>
      </c>
      <c r="J68" s="28" t="s">
        <v>25</v>
      </c>
      <c r="K68" s="28" t="s">
        <v>107</v>
      </c>
    </row>
    <row r="69" spans="1:11" ht="16" x14ac:dyDescent="0.2">
      <c r="A69" s="49" t="s">
        <v>509</v>
      </c>
      <c r="B69" s="24" t="s">
        <v>215</v>
      </c>
      <c r="C69" s="28" t="s">
        <v>276</v>
      </c>
      <c r="D69" s="28" t="s">
        <v>25</v>
      </c>
      <c r="H69">
        <v>68</v>
      </c>
      <c r="I69" s="28" t="s">
        <v>276</v>
      </c>
      <c r="J69" s="28" t="s">
        <v>25</v>
      </c>
      <c r="K69" s="28" t="s">
        <v>107</v>
      </c>
    </row>
    <row r="70" spans="1:11" ht="16" x14ac:dyDescent="0.2">
      <c r="A70" s="49" t="s">
        <v>509</v>
      </c>
      <c r="B70" s="24" t="s">
        <v>215</v>
      </c>
      <c r="C70" s="28" t="s">
        <v>264</v>
      </c>
      <c r="D70" s="28" t="s">
        <v>25</v>
      </c>
      <c r="H70">
        <v>69</v>
      </c>
      <c r="I70" s="28" t="s">
        <v>264</v>
      </c>
      <c r="J70" s="28" t="s">
        <v>25</v>
      </c>
      <c r="K70" s="28" t="s">
        <v>107</v>
      </c>
    </row>
    <row r="71" spans="1:11" ht="16" x14ac:dyDescent="0.2">
      <c r="A71" s="49" t="s">
        <v>509</v>
      </c>
      <c r="B71" s="24" t="s">
        <v>215</v>
      </c>
      <c r="C71" s="28" t="s">
        <v>278</v>
      </c>
      <c r="D71" s="28" t="s">
        <v>25</v>
      </c>
      <c r="H71">
        <v>70</v>
      </c>
      <c r="I71" s="28" t="s">
        <v>278</v>
      </c>
      <c r="J71" s="28" t="s">
        <v>25</v>
      </c>
      <c r="K71" s="28" t="s">
        <v>107</v>
      </c>
    </row>
    <row r="72" spans="1:11" ht="16" x14ac:dyDescent="0.2">
      <c r="A72" s="49" t="s">
        <v>509</v>
      </c>
      <c r="B72" s="24" t="s">
        <v>215</v>
      </c>
      <c r="C72" s="28" t="s">
        <v>248</v>
      </c>
      <c r="D72" s="28" t="s">
        <v>25</v>
      </c>
      <c r="H72">
        <v>71</v>
      </c>
      <c r="I72" s="28" t="s">
        <v>248</v>
      </c>
      <c r="J72" s="28" t="s">
        <v>25</v>
      </c>
      <c r="K72" s="28" t="s">
        <v>107</v>
      </c>
    </row>
    <row r="73" spans="1:11" ht="16" x14ac:dyDescent="0.2">
      <c r="A73" s="49" t="s">
        <v>509</v>
      </c>
      <c r="B73" s="24" t="s">
        <v>215</v>
      </c>
      <c r="C73" s="28" t="s">
        <v>85</v>
      </c>
      <c r="D73" s="28" t="s">
        <v>195</v>
      </c>
      <c r="H73">
        <v>72</v>
      </c>
      <c r="I73" s="28" t="s">
        <v>85</v>
      </c>
      <c r="J73" s="28" t="s">
        <v>195</v>
      </c>
      <c r="K73" s="28" t="s">
        <v>107</v>
      </c>
    </row>
    <row r="74" spans="1:11" ht="16" x14ac:dyDescent="0.2">
      <c r="A74" s="49" t="s">
        <v>509</v>
      </c>
      <c r="B74" s="24" t="s">
        <v>215</v>
      </c>
      <c r="C74" s="28" t="s">
        <v>88</v>
      </c>
      <c r="D74" s="28" t="s">
        <v>195</v>
      </c>
      <c r="H74">
        <v>73</v>
      </c>
      <c r="I74" s="28" t="s">
        <v>88</v>
      </c>
      <c r="J74" s="28" t="s">
        <v>195</v>
      </c>
      <c r="K74" s="28" t="s">
        <v>107</v>
      </c>
    </row>
    <row r="75" spans="1:11" ht="16" x14ac:dyDescent="0.2">
      <c r="A75" s="49" t="s">
        <v>509</v>
      </c>
      <c r="B75" s="24" t="s">
        <v>215</v>
      </c>
      <c r="C75" s="28" t="s">
        <v>291</v>
      </c>
      <c r="D75" s="28" t="s">
        <v>25</v>
      </c>
      <c r="H75">
        <v>74</v>
      </c>
      <c r="I75" s="28" t="s">
        <v>291</v>
      </c>
      <c r="J75" s="28" t="s">
        <v>25</v>
      </c>
      <c r="K75" s="28" t="s">
        <v>107</v>
      </c>
    </row>
    <row r="76" spans="1:11" ht="16" x14ac:dyDescent="0.2">
      <c r="A76" s="49" t="s">
        <v>509</v>
      </c>
      <c r="B76" s="24" t="s">
        <v>215</v>
      </c>
      <c r="C76" s="28" t="s">
        <v>232</v>
      </c>
      <c r="D76" s="28" t="s">
        <v>25</v>
      </c>
      <c r="H76">
        <v>75</v>
      </c>
      <c r="I76" s="28" t="s">
        <v>232</v>
      </c>
      <c r="J76" s="28" t="s">
        <v>25</v>
      </c>
      <c r="K76" s="28" t="s">
        <v>107</v>
      </c>
    </row>
    <row r="77" spans="1:11" ht="16" x14ac:dyDescent="0.2">
      <c r="A77" s="49" t="s">
        <v>509</v>
      </c>
      <c r="B77" s="24" t="s">
        <v>215</v>
      </c>
      <c r="C77" s="28" t="s">
        <v>93</v>
      </c>
      <c r="D77" s="28" t="s">
        <v>195</v>
      </c>
      <c r="H77">
        <v>76</v>
      </c>
      <c r="I77" s="28" t="s">
        <v>93</v>
      </c>
      <c r="J77" s="28" t="s">
        <v>195</v>
      </c>
      <c r="K77" s="28" t="s">
        <v>107</v>
      </c>
    </row>
    <row r="78" spans="1:11" ht="16" x14ac:dyDescent="0.2">
      <c r="A78" s="49" t="s">
        <v>509</v>
      </c>
      <c r="B78" s="24" t="s">
        <v>215</v>
      </c>
      <c r="C78" s="28" t="s">
        <v>263</v>
      </c>
      <c r="D78" s="28" t="s">
        <v>25</v>
      </c>
      <c r="H78">
        <v>77</v>
      </c>
      <c r="I78" s="28" t="s">
        <v>263</v>
      </c>
      <c r="J78" s="28" t="s">
        <v>25</v>
      </c>
      <c r="K78" s="28" t="s">
        <v>107</v>
      </c>
    </row>
    <row r="79" spans="1:11" ht="16" x14ac:dyDescent="0.2">
      <c r="A79" s="49" t="s">
        <v>509</v>
      </c>
      <c r="B79" s="24" t="s">
        <v>215</v>
      </c>
      <c r="C79" s="28" t="s">
        <v>245</v>
      </c>
      <c r="D79" s="28" t="s">
        <v>25</v>
      </c>
      <c r="H79">
        <v>78</v>
      </c>
      <c r="I79" s="28" t="s">
        <v>245</v>
      </c>
      <c r="J79" s="28" t="s">
        <v>25</v>
      </c>
      <c r="K79" s="28" t="s">
        <v>107</v>
      </c>
    </row>
    <row r="80" spans="1:11" ht="16" x14ac:dyDescent="0.2">
      <c r="A80" s="49" t="s">
        <v>509</v>
      </c>
      <c r="B80" s="24" t="s">
        <v>215</v>
      </c>
      <c r="C80" s="28" t="s">
        <v>275</v>
      </c>
      <c r="D80" s="28" t="s">
        <v>25</v>
      </c>
      <c r="H80">
        <v>79</v>
      </c>
      <c r="I80" s="28" t="s">
        <v>275</v>
      </c>
      <c r="J80" s="28" t="s">
        <v>25</v>
      </c>
      <c r="K80" s="28" t="s">
        <v>107</v>
      </c>
    </row>
    <row r="81" spans="1:11" ht="16" x14ac:dyDescent="0.2">
      <c r="A81" s="49" t="s">
        <v>509</v>
      </c>
      <c r="B81" s="24" t="s">
        <v>215</v>
      </c>
      <c r="C81" s="28" t="s">
        <v>272</v>
      </c>
      <c r="D81" s="28" t="s">
        <v>25</v>
      </c>
      <c r="H81">
        <v>80</v>
      </c>
      <c r="I81" s="28" t="s">
        <v>272</v>
      </c>
      <c r="J81" s="28" t="s">
        <v>25</v>
      </c>
      <c r="K81" s="28" t="s">
        <v>107</v>
      </c>
    </row>
    <row r="82" spans="1:11" ht="16" x14ac:dyDescent="0.2">
      <c r="A82" s="49" t="s">
        <v>509</v>
      </c>
      <c r="B82" s="24" t="s">
        <v>215</v>
      </c>
      <c r="C82" s="28" t="s">
        <v>119</v>
      </c>
      <c r="D82" s="28" t="s">
        <v>25</v>
      </c>
      <c r="H82">
        <v>81</v>
      </c>
      <c r="I82" s="28" t="s">
        <v>119</v>
      </c>
      <c r="J82" s="28" t="s">
        <v>25</v>
      </c>
      <c r="K82" s="28" t="s">
        <v>107</v>
      </c>
    </row>
    <row r="83" spans="1:11" ht="16" x14ac:dyDescent="0.2">
      <c r="A83" s="49" t="s">
        <v>509</v>
      </c>
      <c r="B83" s="24" t="s">
        <v>215</v>
      </c>
      <c r="C83" s="28" t="s">
        <v>242</v>
      </c>
      <c r="D83" s="28" t="s">
        <v>25</v>
      </c>
      <c r="H83">
        <v>82</v>
      </c>
      <c r="I83" s="28" t="s">
        <v>242</v>
      </c>
      <c r="J83" s="28" t="s">
        <v>25</v>
      </c>
      <c r="K83" s="28" t="s">
        <v>107</v>
      </c>
    </row>
    <row r="84" spans="1:11" ht="16" x14ac:dyDescent="0.2">
      <c r="A84" s="49" t="s">
        <v>509</v>
      </c>
      <c r="B84" s="24" t="s">
        <v>215</v>
      </c>
      <c r="C84" s="28" t="s">
        <v>266</v>
      </c>
      <c r="D84" s="28" t="s">
        <v>25</v>
      </c>
      <c r="H84">
        <v>83</v>
      </c>
      <c r="I84" s="28" t="s">
        <v>266</v>
      </c>
      <c r="J84" s="28" t="s">
        <v>25</v>
      </c>
      <c r="K84" s="28" t="s">
        <v>107</v>
      </c>
    </row>
    <row r="85" spans="1:11" ht="16" x14ac:dyDescent="0.2">
      <c r="A85" s="49" t="s">
        <v>509</v>
      </c>
      <c r="B85" s="24" t="s">
        <v>215</v>
      </c>
      <c r="C85" s="28" t="s">
        <v>227</v>
      </c>
      <c r="D85" s="28" t="s">
        <v>25</v>
      </c>
      <c r="F85" s="17"/>
      <c r="H85">
        <v>84</v>
      </c>
      <c r="I85" s="28" t="s">
        <v>227</v>
      </c>
      <c r="J85" s="28" t="s">
        <v>25</v>
      </c>
      <c r="K85" s="28" t="s">
        <v>107</v>
      </c>
    </row>
    <row r="86" spans="1:11" ht="16" x14ac:dyDescent="0.2">
      <c r="A86" s="49" t="s">
        <v>509</v>
      </c>
      <c r="B86" s="24" t="s">
        <v>215</v>
      </c>
      <c r="C86" s="28" t="s">
        <v>246</v>
      </c>
      <c r="D86" s="28" t="s">
        <v>32</v>
      </c>
      <c r="H86">
        <v>85</v>
      </c>
      <c r="I86" s="28" t="s">
        <v>246</v>
      </c>
      <c r="J86" s="28" t="s">
        <v>32</v>
      </c>
      <c r="K86" s="28" t="s">
        <v>107</v>
      </c>
    </row>
    <row r="87" spans="1:11" ht="16" x14ac:dyDescent="0.2">
      <c r="A87" s="49" t="s">
        <v>509</v>
      </c>
      <c r="B87" s="24" t="s">
        <v>215</v>
      </c>
      <c r="C87" s="28" t="s">
        <v>228</v>
      </c>
      <c r="D87" s="28" t="s">
        <v>32</v>
      </c>
      <c r="H87">
        <v>86</v>
      </c>
      <c r="I87" s="28" t="s">
        <v>228</v>
      </c>
      <c r="J87" s="28" t="s">
        <v>32</v>
      </c>
      <c r="K87" s="28" t="s">
        <v>107</v>
      </c>
    </row>
    <row r="88" spans="1:11" ht="16" x14ac:dyDescent="0.2">
      <c r="A88" s="49" t="s">
        <v>509</v>
      </c>
      <c r="B88" s="24" t="s">
        <v>215</v>
      </c>
      <c r="C88" s="28" t="s">
        <v>234</v>
      </c>
      <c r="D88" s="28" t="s">
        <v>25</v>
      </c>
      <c r="H88">
        <v>87</v>
      </c>
      <c r="I88" s="28" t="s">
        <v>234</v>
      </c>
      <c r="J88" s="28" t="s">
        <v>25</v>
      </c>
      <c r="K88" s="28" t="s">
        <v>107</v>
      </c>
    </row>
    <row r="89" spans="1:11" ht="16" x14ac:dyDescent="0.2">
      <c r="A89" s="49" t="s">
        <v>509</v>
      </c>
      <c r="B89" s="24" t="s">
        <v>215</v>
      </c>
      <c r="C89" s="28" t="s">
        <v>84</v>
      </c>
      <c r="D89" s="28" t="s">
        <v>25</v>
      </c>
      <c r="H89">
        <v>88</v>
      </c>
      <c r="I89" s="28" t="s">
        <v>84</v>
      </c>
      <c r="J89" s="28" t="s">
        <v>25</v>
      </c>
      <c r="K89" s="28" t="s">
        <v>107</v>
      </c>
    </row>
    <row r="90" spans="1:11" ht="16" x14ac:dyDescent="0.2">
      <c r="A90" s="49" t="s">
        <v>509</v>
      </c>
      <c r="B90" s="24" t="s">
        <v>215</v>
      </c>
      <c r="C90" s="28" t="s">
        <v>35</v>
      </c>
      <c r="D90" s="28" t="s">
        <v>25</v>
      </c>
      <c r="H90">
        <v>89</v>
      </c>
      <c r="I90" s="28" t="s">
        <v>35</v>
      </c>
      <c r="J90" s="28" t="s">
        <v>25</v>
      </c>
      <c r="K90" s="28" t="s">
        <v>107</v>
      </c>
    </row>
    <row r="91" spans="1:11" ht="16" x14ac:dyDescent="0.2">
      <c r="A91" s="49" t="s">
        <v>509</v>
      </c>
      <c r="B91" s="24" t="s">
        <v>215</v>
      </c>
      <c r="C91" s="28" t="s">
        <v>34</v>
      </c>
      <c r="D91" s="28" t="s">
        <v>25</v>
      </c>
      <c r="H91">
        <v>90</v>
      </c>
      <c r="I91" s="28" t="s">
        <v>34</v>
      </c>
      <c r="J91" s="28" t="s">
        <v>25</v>
      </c>
      <c r="K91" s="28" t="s">
        <v>107</v>
      </c>
    </row>
    <row r="92" spans="1:11" ht="16" x14ac:dyDescent="0.2">
      <c r="A92" s="49" t="s">
        <v>509</v>
      </c>
      <c r="B92" s="24" t="s">
        <v>215</v>
      </c>
      <c r="C92" s="28" t="s">
        <v>33</v>
      </c>
      <c r="D92" s="28" t="s">
        <v>25</v>
      </c>
      <c r="H92">
        <v>91</v>
      </c>
      <c r="I92" s="28" t="s">
        <v>33</v>
      </c>
      <c r="J92" s="28" t="s">
        <v>25</v>
      </c>
      <c r="K92" s="28" t="s">
        <v>107</v>
      </c>
    </row>
    <row r="93" spans="1:11" ht="16" x14ac:dyDescent="0.2">
      <c r="A93" s="49" t="s">
        <v>509</v>
      </c>
      <c r="B93" s="24" t="s">
        <v>215</v>
      </c>
      <c r="C93" s="28" t="s">
        <v>41</v>
      </c>
      <c r="D93" s="28" t="s">
        <v>25</v>
      </c>
      <c r="H93">
        <v>92</v>
      </c>
      <c r="I93" s="28" t="s">
        <v>41</v>
      </c>
      <c r="J93" s="28" t="s">
        <v>25</v>
      </c>
      <c r="K93" s="28" t="s">
        <v>107</v>
      </c>
    </row>
    <row r="94" spans="1:11" ht="16" x14ac:dyDescent="0.2">
      <c r="A94" s="49" t="s">
        <v>509</v>
      </c>
      <c r="B94" s="24" t="s">
        <v>215</v>
      </c>
      <c r="C94" s="28" t="s">
        <v>40</v>
      </c>
      <c r="D94" s="28" t="s">
        <v>25</v>
      </c>
      <c r="H94">
        <v>93</v>
      </c>
      <c r="I94" s="28" t="s">
        <v>40</v>
      </c>
      <c r="J94" s="28" t="s">
        <v>25</v>
      </c>
      <c r="K94" s="28" t="s">
        <v>107</v>
      </c>
    </row>
    <row r="95" spans="1:11" ht="16" x14ac:dyDescent="0.2">
      <c r="A95" s="49" t="s">
        <v>509</v>
      </c>
      <c r="B95" s="24" t="s">
        <v>215</v>
      </c>
      <c r="C95" s="28" t="s">
        <v>39</v>
      </c>
      <c r="D95" s="28" t="s">
        <v>25</v>
      </c>
      <c r="H95">
        <v>94</v>
      </c>
      <c r="I95" s="28" t="s">
        <v>39</v>
      </c>
      <c r="J95" s="28" t="s">
        <v>25</v>
      </c>
      <c r="K95" s="28" t="s">
        <v>107</v>
      </c>
    </row>
    <row r="96" spans="1:11" ht="16" x14ac:dyDescent="0.2">
      <c r="A96" s="49" t="s">
        <v>509</v>
      </c>
      <c r="B96" s="24" t="s">
        <v>215</v>
      </c>
      <c r="C96" s="28" t="s">
        <v>38</v>
      </c>
      <c r="D96" s="28" t="s">
        <v>25</v>
      </c>
      <c r="H96">
        <v>95</v>
      </c>
      <c r="I96" s="28" t="s">
        <v>38</v>
      </c>
      <c r="J96" s="28" t="s">
        <v>25</v>
      </c>
      <c r="K96" s="28" t="s">
        <v>107</v>
      </c>
    </row>
    <row r="97" spans="1:11" ht="16" x14ac:dyDescent="0.2">
      <c r="A97" s="49" t="s">
        <v>509</v>
      </c>
      <c r="B97" s="24" t="s">
        <v>215</v>
      </c>
      <c r="C97" s="28" t="s">
        <v>37</v>
      </c>
      <c r="D97" s="28" t="s">
        <v>25</v>
      </c>
      <c r="H97">
        <v>96</v>
      </c>
      <c r="I97" s="28" t="s">
        <v>37</v>
      </c>
      <c r="J97" s="28" t="s">
        <v>25</v>
      </c>
      <c r="K97" s="28" t="s">
        <v>107</v>
      </c>
    </row>
    <row r="98" spans="1:11" ht="16" x14ac:dyDescent="0.2">
      <c r="A98" s="49" t="s">
        <v>509</v>
      </c>
      <c r="B98" s="24" t="s">
        <v>215</v>
      </c>
      <c r="C98" s="28" t="s">
        <v>36</v>
      </c>
      <c r="D98" s="28" t="s">
        <v>25</v>
      </c>
      <c r="H98">
        <v>97</v>
      </c>
      <c r="I98" s="28" t="s">
        <v>36</v>
      </c>
      <c r="J98" s="28" t="s">
        <v>25</v>
      </c>
      <c r="K98" s="28" t="s">
        <v>107</v>
      </c>
    </row>
    <row r="99" spans="1:11" ht="16" x14ac:dyDescent="0.2">
      <c r="A99" s="49" t="s">
        <v>509</v>
      </c>
      <c r="B99" s="24" t="s">
        <v>215</v>
      </c>
      <c r="C99" s="28" t="s">
        <v>43</v>
      </c>
      <c r="D99" s="28" t="s">
        <v>25</v>
      </c>
      <c r="H99">
        <v>98</v>
      </c>
      <c r="I99" s="28" t="s">
        <v>43</v>
      </c>
      <c r="J99" s="28" t="s">
        <v>25</v>
      </c>
      <c r="K99" s="28" t="s">
        <v>107</v>
      </c>
    </row>
    <row r="100" spans="1:11" ht="16" x14ac:dyDescent="0.2">
      <c r="A100" s="49" t="s">
        <v>509</v>
      </c>
      <c r="B100" s="24" t="s">
        <v>215</v>
      </c>
      <c r="C100" s="28" t="s">
        <v>47</v>
      </c>
      <c r="D100" s="28" t="s">
        <v>25</v>
      </c>
      <c r="H100">
        <v>99</v>
      </c>
      <c r="I100" s="28" t="s">
        <v>47</v>
      </c>
      <c r="J100" s="28" t="s">
        <v>25</v>
      </c>
      <c r="K100" s="28" t="s">
        <v>107</v>
      </c>
    </row>
    <row r="101" spans="1:11" ht="16" x14ac:dyDescent="0.2">
      <c r="A101" s="49" t="s">
        <v>509</v>
      </c>
      <c r="B101" s="24" t="s">
        <v>215</v>
      </c>
      <c r="C101" s="28" t="s">
        <v>46</v>
      </c>
      <c r="D101" s="28" t="s">
        <v>25</v>
      </c>
      <c r="H101">
        <v>100</v>
      </c>
      <c r="I101" s="28" t="s">
        <v>46</v>
      </c>
      <c r="J101" s="28" t="s">
        <v>25</v>
      </c>
      <c r="K101" s="28" t="s">
        <v>107</v>
      </c>
    </row>
    <row r="102" spans="1:11" ht="16" x14ac:dyDescent="0.2">
      <c r="A102" s="49" t="s">
        <v>509</v>
      </c>
      <c r="B102" s="24" t="s">
        <v>215</v>
      </c>
      <c r="C102" s="28" t="s">
        <v>45</v>
      </c>
      <c r="D102" s="28" t="s">
        <v>25</v>
      </c>
      <c r="H102">
        <v>101</v>
      </c>
      <c r="I102" s="28" t="s">
        <v>45</v>
      </c>
      <c r="J102" s="28" t="s">
        <v>25</v>
      </c>
      <c r="K102" s="28" t="s">
        <v>107</v>
      </c>
    </row>
    <row r="103" spans="1:11" ht="16" x14ac:dyDescent="0.2">
      <c r="A103" s="49" t="s">
        <v>509</v>
      </c>
      <c r="B103" s="24" t="s">
        <v>215</v>
      </c>
      <c r="C103" s="28" t="s">
        <v>44</v>
      </c>
      <c r="D103" s="28" t="s">
        <v>25</v>
      </c>
      <c r="H103">
        <v>102</v>
      </c>
      <c r="I103" s="28" t="s">
        <v>44</v>
      </c>
      <c r="J103" s="28" t="s">
        <v>25</v>
      </c>
      <c r="K103" s="28" t="s">
        <v>107</v>
      </c>
    </row>
    <row r="104" spans="1:11" ht="16" x14ac:dyDescent="0.2">
      <c r="A104" s="49" t="s">
        <v>509</v>
      </c>
      <c r="B104" s="24" t="s">
        <v>215</v>
      </c>
      <c r="C104" s="28" t="s">
        <v>56</v>
      </c>
      <c r="D104" s="28" t="s">
        <v>25</v>
      </c>
      <c r="H104">
        <v>103</v>
      </c>
      <c r="I104" s="28" t="s">
        <v>56</v>
      </c>
      <c r="J104" s="28" t="s">
        <v>25</v>
      </c>
      <c r="K104" s="28" t="s">
        <v>107</v>
      </c>
    </row>
    <row r="105" spans="1:11" ht="16" x14ac:dyDescent="0.2">
      <c r="A105" s="49" t="s">
        <v>509</v>
      </c>
      <c r="B105" s="24" t="s">
        <v>215</v>
      </c>
      <c r="C105" s="28" t="s">
        <v>55</v>
      </c>
      <c r="D105" s="28" t="s">
        <v>25</v>
      </c>
      <c r="H105">
        <v>104</v>
      </c>
      <c r="I105" s="28" t="s">
        <v>55</v>
      </c>
      <c r="J105" s="28" t="s">
        <v>25</v>
      </c>
      <c r="K105" s="28" t="s">
        <v>107</v>
      </c>
    </row>
    <row r="106" spans="1:11" ht="16" x14ac:dyDescent="0.2">
      <c r="A106" s="49" t="s">
        <v>509</v>
      </c>
      <c r="B106" s="24" t="s">
        <v>215</v>
      </c>
      <c r="C106" s="28" t="s">
        <v>54</v>
      </c>
      <c r="D106" s="28" t="s">
        <v>25</v>
      </c>
      <c r="H106">
        <v>105</v>
      </c>
      <c r="I106" s="28" t="s">
        <v>54</v>
      </c>
      <c r="J106" s="28" t="s">
        <v>25</v>
      </c>
      <c r="K106" s="28" t="s">
        <v>107</v>
      </c>
    </row>
    <row r="107" spans="1:11" ht="16" x14ac:dyDescent="0.2">
      <c r="A107" s="49" t="s">
        <v>509</v>
      </c>
      <c r="B107" s="24" t="s">
        <v>215</v>
      </c>
      <c r="C107" s="28" t="s">
        <v>53</v>
      </c>
      <c r="D107" s="28" t="s">
        <v>25</v>
      </c>
      <c r="H107">
        <v>106</v>
      </c>
      <c r="I107" s="28" t="s">
        <v>53</v>
      </c>
      <c r="J107" s="28" t="s">
        <v>25</v>
      </c>
      <c r="K107" s="28" t="s">
        <v>107</v>
      </c>
    </row>
    <row r="108" spans="1:11" ht="16" x14ac:dyDescent="0.2">
      <c r="A108" s="49" t="s">
        <v>509</v>
      </c>
      <c r="B108" s="24" t="s">
        <v>215</v>
      </c>
      <c r="C108" s="28" t="s">
        <v>57</v>
      </c>
      <c r="D108" s="28" t="s">
        <v>25</v>
      </c>
      <c r="H108">
        <v>107</v>
      </c>
      <c r="I108" s="28" t="s">
        <v>57</v>
      </c>
      <c r="J108" s="28" t="s">
        <v>25</v>
      </c>
      <c r="K108" s="28" t="s">
        <v>107</v>
      </c>
    </row>
    <row r="109" spans="1:11" ht="16" x14ac:dyDescent="0.2">
      <c r="A109" s="49" t="s">
        <v>509</v>
      </c>
      <c r="B109" s="24" t="s">
        <v>215</v>
      </c>
      <c r="C109" s="28" t="s">
        <v>49</v>
      </c>
      <c r="D109" s="28" t="s">
        <v>25</v>
      </c>
      <c r="H109">
        <v>108</v>
      </c>
      <c r="I109" s="28" t="s">
        <v>49</v>
      </c>
      <c r="J109" s="28" t="s">
        <v>25</v>
      </c>
      <c r="K109" s="28" t="s">
        <v>107</v>
      </c>
    </row>
    <row r="110" spans="1:11" ht="16" x14ac:dyDescent="0.2">
      <c r="A110" s="49" t="s">
        <v>509</v>
      </c>
      <c r="B110" s="24" t="s">
        <v>215</v>
      </c>
      <c r="C110" s="28" t="s">
        <v>48</v>
      </c>
      <c r="D110" s="28" t="s">
        <v>25</v>
      </c>
      <c r="H110">
        <v>109</v>
      </c>
      <c r="I110" s="28" t="s">
        <v>48</v>
      </c>
      <c r="J110" s="28" t="s">
        <v>25</v>
      </c>
      <c r="K110" s="28" t="s">
        <v>107</v>
      </c>
    </row>
    <row r="111" spans="1:11" ht="16" x14ac:dyDescent="0.2">
      <c r="A111" s="49" t="s">
        <v>509</v>
      </c>
      <c r="B111" s="24" t="s">
        <v>215</v>
      </c>
      <c r="C111" s="28" t="s">
        <v>52</v>
      </c>
      <c r="D111" s="28" t="s">
        <v>25</v>
      </c>
      <c r="H111">
        <v>110</v>
      </c>
      <c r="I111" s="28" t="s">
        <v>52</v>
      </c>
      <c r="J111" s="28" t="s">
        <v>25</v>
      </c>
      <c r="K111" s="28" t="s">
        <v>107</v>
      </c>
    </row>
    <row r="112" spans="1:11" ht="16" x14ac:dyDescent="0.2">
      <c r="A112" s="49" t="s">
        <v>509</v>
      </c>
      <c r="B112" s="24" t="s">
        <v>215</v>
      </c>
      <c r="C112" s="28" t="s">
        <v>51</v>
      </c>
      <c r="D112" s="28" t="s">
        <v>25</v>
      </c>
      <c r="H112">
        <v>111</v>
      </c>
      <c r="I112" s="28" t="s">
        <v>51</v>
      </c>
      <c r="J112" s="28" t="s">
        <v>25</v>
      </c>
      <c r="K112" s="28" t="s">
        <v>107</v>
      </c>
    </row>
    <row r="113" spans="1:11" ht="16" x14ac:dyDescent="0.2">
      <c r="A113" s="49" t="s">
        <v>509</v>
      </c>
      <c r="B113" s="24" t="s">
        <v>215</v>
      </c>
      <c r="C113" s="28" t="s">
        <v>50</v>
      </c>
      <c r="D113" s="28" t="s">
        <v>25</v>
      </c>
      <c r="H113">
        <v>112</v>
      </c>
      <c r="I113" s="28" t="s">
        <v>50</v>
      </c>
      <c r="J113" s="28" t="s">
        <v>25</v>
      </c>
      <c r="K113" s="28" t="s">
        <v>107</v>
      </c>
    </row>
    <row r="114" spans="1:11" ht="16" x14ac:dyDescent="0.2">
      <c r="A114" s="49" t="s">
        <v>509</v>
      </c>
      <c r="B114" s="24" t="s">
        <v>215</v>
      </c>
      <c r="C114" s="28" t="s">
        <v>60</v>
      </c>
      <c r="D114" s="28" t="s">
        <v>25</v>
      </c>
      <c r="H114">
        <v>113</v>
      </c>
      <c r="I114" s="28" t="s">
        <v>60</v>
      </c>
      <c r="J114" s="28" t="s">
        <v>25</v>
      </c>
      <c r="K114" s="28" t="s">
        <v>107</v>
      </c>
    </row>
    <row r="115" spans="1:11" ht="16" x14ac:dyDescent="0.2">
      <c r="A115" s="49" t="s">
        <v>509</v>
      </c>
      <c r="B115" s="24" t="s">
        <v>215</v>
      </c>
      <c r="C115" s="28" t="s">
        <v>67</v>
      </c>
      <c r="D115" s="28" t="s">
        <v>25</v>
      </c>
      <c r="H115">
        <v>114</v>
      </c>
      <c r="I115" s="28" t="s">
        <v>67</v>
      </c>
      <c r="J115" s="28" t="s">
        <v>25</v>
      </c>
      <c r="K115" s="28" t="s">
        <v>107</v>
      </c>
    </row>
    <row r="116" spans="1:11" ht="16" x14ac:dyDescent="0.2">
      <c r="A116" s="49" t="s">
        <v>509</v>
      </c>
      <c r="B116" s="24" t="s">
        <v>215</v>
      </c>
      <c r="C116" s="28" t="s">
        <v>69</v>
      </c>
      <c r="D116" s="28" t="s">
        <v>25</v>
      </c>
      <c r="H116">
        <v>115</v>
      </c>
      <c r="I116" s="28" t="s">
        <v>69</v>
      </c>
      <c r="J116" s="28" t="s">
        <v>25</v>
      </c>
      <c r="K116" s="28" t="s">
        <v>107</v>
      </c>
    </row>
    <row r="117" spans="1:11" ht="16" x14ac:dyDescent="0.2">
      <c r="A117" s="49" t="s">
        <v>509</v>
      </c>
      <c r="B117" s="24" t="s">
        <v>215</v>
      </c>
      <c r="C117" s="28" t="s">
        <v>68</v>
      </c>
      <c r="D117" s="28" t="s">
        <v>25</v>
      </c>
      <c r="H117">
        <v>116</v>
      </c>
      <c r="I117" s="28" t="s">
        <v>68</v>
      </c>
      <c r="J117" s="28" t="s">
        <v>25</v>
      </c>
      <c r="K117" s="28" t="s">
        <v>107</v>
      </c>
    </row>
    <row r="118" spans="1:11" ht="16" x14ac:dyDescent="0.2">
      <c r="A118" s="49" t="s">
        <v>509</v>
      </c>
      <c r="B118" s="24" t="s">
        <v>215</v>
      </c>
      <c r="C118" s="28" t="s">
        <v>63</v>
      </c>
      <c r="D118" s="28" t="s">
        <v>25</v>
      </c>
      <c r="H118">
        <v>117</v>
      </c>
      <c r="I118" s="28" t="s">
        <v>63</v>
      </c>
      <c r="J118" s="28" t="s">
        <v>25</v>
      </c>
      <c r="K118" s="28" t="s">
        <v>107</v>
      </c>
    </row>
    <row r="119" spans="1:11" ht="16" x14ac:dyDescent="0.2">
      <c r="A119" s="49" t="s">
        <v>509</v>
      </c>
      <c r="B119" s="24" t="s">
        <v>215</v>
      </c>
      <c r="C119" s="28" t="s">
        <v>62</v>
      </c>
      <c r="D119" s="28" t="s">
        <v>25</v>
      </c>
      <c r="H119">
        <v>118</v>
      </c>
      <c r="I119" s="28" t="s">
        <v>62</v>
      </c>
      <c r="J119" s="28" t="s">
        <v>25</v>
      </c>
      <c r="K119" s="28" t="s">
        <v>107</v>
      </c>
    </row>
    <row r="120" spans="1:11" ht="16" x14ac:dyDescent="0.2">
      <c r="A120" s="49" t="s">
        <v>509</v>
      </c>
      <c r="B120" s="24" t="s">
        <v>215</v>
      </c>
      <c r="C120" s="28" t="s">
        <v>66</v>
      </c>
      <c r="D120" s="28" t="s">
        <v>25</v>
      </c>
      <c r="H120">
        <v>119</v>
      </c>
      <c r="I120" s="28" t="s">
        <v>66</v>
      </c>
      <c r="J120" s="28" t="s">
        <v>25</v>
      </c>
      <c r="K120" s="28" t="s">
        <v>107</v>
      </c>
    </row>
    <row r="121" spans="1:11" ht="16" x14ac:dyDescent="0.2">
      <c r="A121" s="49" t="s">
        <v>509</v>
      </c>
      <c r="B121" s="24" t="s">
        <v>215</v>
      </c>
      <c r="C121" s="28" t="s">
        <v>65</v>
      </c>
      <c r="D121" s="28" t="s">
        <v>25</v>
      </c>
      <c r="H121">
        <v>120</v>
      </c>
      <c r="I121" s="28" t="s">
        <v>65</v>
      </c>
      <c r="J121" s="28" t="s">
        <v>25</v>
      </c>
      <c r="K121" s="28" t="s">
        <v>107</v>
      </c>
    </row>
    <row r="122" spans="1:11" ht="16" x14ac:dyDescent="0.2">
      <c r="A122" s="49" t="s">
        <v>509</v>
      </c>
      <c r="B122" s="24" t="s">
        <v>215</v>
      </c>
      <c r="C122" s="28" t="s">
        <v>71</v>
      </c>
      <c r="D122" s="28" t="s">
        <v>25</v>
      </c>
      <c r="H122">
        <v>121</v>
      </c>
      <c r="I122" s="28" t="s">
        <v>71</v>
      </c>
      <c r="J122" s="28" t="s">
        <v>25</v>
      </c>
      <c r="K122" s="28" t="s">
        <v>107</v>
      </c>
    </row>
    <row r="123" spans="1:11" ht="16" x14ac:dyDescent="0.2">
      <c r="A123" s="49" t="s">
        <v>509</v>
      </c>
      <c r="B123" s="24" t="s">
        <v>215</v>
      </c>
      <c r="C123" s="28" t="s">
        <v>70</v>
      </c>
      <c r="D123" s="28" t="s">
        <v>25</v>
      </c>
      <c r="H123">
        <v>122</v>
      </c>
      <c r="I123" s="28" t="s">
        <v>70</v>
      </c>
      <c r="J123" s="28" t="s">
        <v>25</v>
      </c>
      <c r="K123" s="28" t="s">
        <v>107</v>
      </c>
    </row>
    <row r="124" spans="1:11" ht="16" x14ac:dyDescent="0.2">
      <c r="A124" s="49" t="s">
        <v>509</v>
      </c>
      <c r="B124" s="24" t="s">
        <v>215</v>
      </c>
      <c r="C124" s="28" t="s">
        <v>58</v>
      </c>
      <c r="D124" s="28" t="s">
        <v>25</v>
      </c>
      <c r="H124">
        <v>123</v>
      </c>
      <c r="I124" s="28" t="s">
        <v>58</v>
      </c>
      <c r="J124" s="28" t="s">
        <v>25</v>
      </c>
      <c r="K124" s="28" t="s">
        <v>107</v>
      </c>
    </row>
    <row r="125" spans="1:11" ht="16" x14ac:dyDescent="0.2">
      <c r="A125" s="49" t="s">
        <v>509</v>
      </c>
      <c r="B125" s="24" t="s">
        <v>215</v>
      </c>
      <c r="C125" s="28" t="s">
        <v>80</v>
      </c>
      <c r="D125" s="28" t="s">
        <v>25</v>
      </c>
      <c r="H125">
        <v>124</v>
      </c>
      <c r="I125" s="28" t="s">
        <v>80</v>
      </c>
      <c r="J125" s="28" t="s">
        <v>25</v>
      </c>
      <c r="K125" s="28" t="s">
        <v>107</v>
      </c>
    </row>
    <row r="126" spans="1:11" ht="16" x14ac:dyDescent="0.2">
      <c r="A126" s="49" t="s">
        <v>509</v>
      </c>
      <c r="B126" s="24" t="s">
        <v>215</v>
      </c>
      <c r="C126" s="28" t="s">
        <v>81</v>
      </c>
      <c r="D126" s="28" t="s">
        <v>25</v>
      </c>
      <c r="H126">
        <v>125</v>
      </c>
      <c r="I126" s="28" t="s">
        <v>81</v>
      </c>
      <c r="J126" s="28" t="s">
        <v>25</v>
      </c>
      <c r="K126" s="28" t="s">
        <v>107</v>
      </c>
    </row>
    <row r="127" spans="1:11" ht="16" x14ac:dyDescent="0.2">
      <c r="A127" s="49" t="s">
        <v>509</v>
      </c>
      <c r="B127" s="24" t="s">
        <v>215</v>
      </c>
      <c r="C127" s="28" t="s">
        <v>78</v>
      </c>
      <c r="D127" s="28" t="s">
        <v>25</v>
      </c>
      <c r="H127">
        <v>126</v>
      </c>
      <c r="I127" s="28" t="s">
        <v>78</v>
      </c>
      <c r="J127" s="28" t="s">
        <v>25</v>
      </c>
      <c r="K127" s="28" t="s">
        <v>107</v>
      </c>
    </row>
    <row r="128" spans="1:11" ht="16" x14ac:dyDescent="0.2">
      <c r="A128" s="49" t="s">
        <v>509</v>
      </c>
      <c r="B128" s="24" t="s">
        <v>215</v>
      </c>
      <c r="C128" s="28" t="s">
        <v>79</v>
      </c>
      <c r="D128" s="28" t="s">
        <v>25</v>
      </c>
      <c r="H128">
        <v>127</v>
      </c>
      <c r="I128" s="28" t="s">
        <v>79</v>
      </c>
      <c r="J128" s="28" t="s">
        <v>25</v>
      </c>
      <c r="K128" s="28" t="s">
        <v>107</v>
      </c>
    </row>
    <row r="129" spans="1:18" ht="16" x14ac:dyDescent="0.2">
      <c r="A129" s="49" t="s">
        <v>509</v>
      </c>
      <c r="B129" s="24" t="s">
        <v>215</v>
      </c>
      <c r="C129" s="28" t="s">
        <v>76</v>
      </c>
      <c r="D129" s="28" t="s">
        <v>25</v>
      </c>
      <c r="H129">
        <v>128</v>
      </c>
      <c r="I129" s="28" t="s">
        <v>76</v>
      </c>
      <c r="J129" s="28" t="s">
        <v>25</v>
      </c>
      <c r="K129" s="28" t="s">
        <v>107</v>
      </c>
    </row>
    <row r="130" spans="1:18" ht="16" x14ac:dyDescent="0.2">
      <c r="A130" s="49" t="s">
        <v>509</v>
      </c>
      <c r="B130" s="24" t="s">
        <v>215</v>
      </c>
      <c r="C130" s="28" t="s">
        <v>77</v>
      </c>
      <c r="D130" s="28" t="s">
        <v>25</v>
      </c>
      <c r="H130">
        <v>129</v>
      </c>
      <c r="I130" s="28" t="s">
        <v>77</v>
      </c>
      <c r="J130" s="28" t="s">
        <v>25</v>
      </c>
      <c r="K130" s="28" t="s">
        <v>107</v>
      </c>
    </row>
    <row r="131" spans="1:18" ht="16" x14ac:dyDescent="0.2">
      <c r="A131" s="49" t="s">
        <v>509</v>
      </c>
      <c r="B131" s="24" t="s">
        <v>215</v>
      </c>
      <c r="C131" s="28" t="s">
        <v>74</v>
      </c>
      <c r="D131" s="28" t="s">
        <v>25</v>
      </c>
      <c r="H131">
        <v>130</v>
      </c>
      <c r="I131" s="28" t="s">
        <v>74</v>
      </c>
      <c r="J131" s="28" t="s">
        <v>25</v>
      </c>
      <c r="K131" s="28" t="s">
        <v>107</v>
      </c>
    </row>
    <row r="132" spans="1:18" ht="16" x14ac:dyDescent="0.2">
      <c r="A132" s="49" t="s">
        <v>509</v>
      </c>
      <c r="B132" s="24" t="s">
        <v>215</v>
      </c>
      <c r="C132" s="28" t="s">
        <v>75</v>
      </c>
      <c r="D132" s="28" t="s">
        <v>25</v>
      </c>
      <c r="H132">
        <v>131</v>
      </c>
      <c r="I132" s="28" t="s">
        <v>75</v>
      </c>
      <c r="J132" s="28" t="s">
        <v>25</v>
      </c>
      <c r="K132" s="28" t="s">
        <v>107</v>
      </c>
    </row>
    <row r="133" spans="1:18" ht="16" x14ac:dyDescent="0.2">
      <c r="A133" s="49" t="s">
        <v>509</v>
      </c>
      <c r="B133" s="24" t="s">
        <v>215</v>
      </c>
      <c r="C133" s="28" t="s">
        <v>82</v>
      </c>
      <c r="D133" s="28" t="s">
        <v>25</v>
      </c>
      <c r="H133">
        <v>132</v>
      </c>
      <c r="I133" s="28" t="s">
        <v>82</v>
      </c>
      <c r="J133" s="28" t="s">
        <v>25</v>
      </c>
      <c r="K133" s="28" t="s">
        <v>107</v>
      </c>
    </row>
    <row r="134" spans="1:18" ht="16" x14ac:dyDescent="0.2">
      <c r="A134" s="49" t="s">
        <v>509</v>
      </c>
      <c r="B134" s="24" t="s">
        <v>215</v>
      </c>
      <c r="C134" s="28" t="s">
        <v>73</v>
      </c>
      <c r="D134" s="28" t="s">
        <v>25</v>
      </c>
      <c r="H134">
        <v>133</v>
      </c>
      <c r="I134" s="28" t="s">
        <v>73</v>
      </c>
      <c r="J134" s="28" t="s">
        <v>25</v>
      </c>
      <c r="K134" s="28" t="s">
        <v>107</v>
      </c>
    </row>
    <row r="135" spans="1:18" ht="16" x14ac:dyDescent="0.2">
      <c r="A135" s="49" t="s">
        <v>509</v>
      </c>
      <c r="B135" s="24" t="s">
        <v>215</v>
      </c>
      <c r="C135" s="28" t="s">
        <v>284</v>
      </c>
      <c r="D135" s="28" t="s">
        <v>25</v>
      </c>
      <c r="H135">
        <v>134</v>
      </c>
      <c r="I135" s="28" t="s">
        <v>284</v>
      </c>
      <c r="J135" s="28" t="s">
        <v>25</v>
      </c>
      <c r="K135" s="28" t="s">
        <v>107</v>
      </c>
    </row>
    <row r="136" spans="1:18" ht="16" x14ac:dyDescent="0.2">
      <c r="A136" s="49" t="s">
        <v>509</v>
      </c>
      <c r="B136" s="24" t="s">
        <v>215</v>
      </c>
      <c r="C136" s="28" t="s">
        <v>90</v>
      </c>
      <c r="D136" s="28" t="s">
        <v>28</v>
      </c>
      <c r="H136">
        <v>135</v>
      </c>
      <c r="I136" s="28" t="s">
        <v>90</v>
      </c>
      <c r="J136" s="28" t="s">
        <v>28</v>
      </c>
      <c r="K136" s="28" t="s">
        <v>107</v>
      </c>
    </row>
    <row r="137" spans="1:18" ht="16" x14ac:dyDescent="0.2">
      <c r="A137" s="49" t="s">
        <v>509</v>
      </c>
      <c r="B137" s="24" t="s">
        <v>215</v>
      </c>
      <c r="C137" s="28" t="s">
        <v>226</v>
      </c>
      <c r="D137" s="28" t="s">
        <v>195</v>
      </c>
      <c r="H137">
        <v>136</v>
      </c>
      <c r="I137" s="28" t="s">
        <v>226</v>
      </c>
      <c r="J137" s="28" t="s">
        <v>195</v>
      </c>
      <c r="K137" s="28" t="s">
        <v>107</v>
      </c>
    </row>
    <row r="138" spans="1:18" ht="16" x14ac:dyDescent="0.2">
      <c r="A138" s="49" t="s">
        <v>509</v>
      </c>
      <c r="B138" s="24" t="s">
        <v>215</v>
      </c>
      <c r="C138" s="28" t="s">
        <v>94</v>
      </c>
      <c r="D138" s="28" t="s">
        <v>95</v>
      </c>
      <c r="H138">
        <v>137</v>
      </c>
      <c r="I138" s="28" t="s">
        <v>94</v>
      </c>
      <c r="J138" s="28" t="s">
        <v>95</v>
      </c>
      <c r="K138" s="28"/>
      <c r="R138" t="s">
        <v>107</v>
      </c>
    </row>
    <row r="139" spans="1:18" ht="16" x14ac:dyDescent="0.2">
      <c r="A139" s="49" t="s">
        <v>509</v>
      </c>
      <c r="B139" s="24" t="s">
        <v>215</v>
      </c>
      <c r="C139" s="28" t="s">
        <v>96</v>
      </c>
      <c r="D139" s="28" t="s">
        <v>97</v>
      </c>
      <c r="H139">
        <v>138</v>
      </c>
      <c r="I139" s="28" t="s">
        <v>96</v>
      </c>
      <c r="J139" s="28" t="s">
        <v>97</v>
      </c>
      <c r="K139" s="28"/>
      <c r="O139" t="s">
        <v>543</v>
      </c>
    </row>
    <row r="140" spans="1:18" ht="16" x14ac:dyDescent="0.2">
      <c r="A140" s="49" t="s">
        <v>509</v>
      </c>
      <c r="B140" s="24" t="s">
        <v>215</v>
      </c>
      <c r="C140" s="28" t="s">
        <v>98</v>
      </c>
      <c r="D140" s="28" t="s">
        <v>27</v>
      </c>
      <c r="H140">
        <v>139</v>
      </c>
      <c r="I140" s="28" t="s">
        <v>98</v>
      </c>
      <c r="J140" s="28" t="s">
        <v>27</v>
      </c>
      <c r="K140" s="28" t="s">
        <v>107</v>
      </c>
    </row>
    <row r="141" spans="1:18" ht="16" x14ac:dyDescent="0.2">
      <c r="A141" s="49" t="s">
        <v>509</v>
      </c>
      <c r="B141" s="24" t="s">
        <v>215</v>
      </c>
      <c r="C141" s="28" t="s">
        <v>99</v>
      </c>
      <c r="D141" s="28" t="s">
        <v>27</v>
      </c>
      <c r="H141">
        <v>140</v>
      </c>
      <c r="I141" s="28" t="s">
        <v>99</v>
      </c>
      <c r="J141" s="28" t="s">
        <v>27</v>
      </c>
      <c r="K141" s="28" t="s">
        <v>107</v>
      </c>
    </row>
    <row r="142" spans="1:18" ht="16" x14ac:dyDescent="0.2">
      <c r="A142" s="49" t="s">
        <v>509</v>
      </c>
      <c r="B142" s="24" t="s">
        <v>215</v>
      </c>
      <c r="C142" s="28" t="s">
        <v>292</v>
      </c>
      <c r="D142" s="28" t="s">
        <v>25</v>
      </c>
      <c r="H142">
        <v>141</v>
      </c>
      <c r="I142" s="28" t="s">
        <v>292</v>
      </c>
      <c r="J142" s="28" t="s">
        <v>25</v>
      </c>
      <c r="K142" s="28" t="s">
        <v>107</v>
      </c>
    </row>
    <row r="143" spans="1:18" ht="16" x14ac:dyDescent="0.2">
      <c r="A143" s="49" t="s">
        <v>509</v>
      </c>
      <c r="B143" s="24" t="s">
        <v>215</v>
      </c>
      <c r="C143" s="28" t="s">
        <v>100</v>
      </c>
      <c r="D143" s="28" t="s">
        <v>27</v>
      </c>
      <c r="H143">
        <v>142</v>
      </c>
      <c r="I143" s="28" t="s">
        <v>100</v>
      </c>
      <c r="J143" s="28" t="s">
        <v>27</v>
      </c>
      <c r="K143" s="28" t="s">
        <v>107</v>
      </c>
    </row>
    <row r="144" spans="1:18" ht="16" x14ac:dyDescent="0.2">
      <c r="A144" s="49" t="s">
        <v>509</v>
      </c>
      <c r="B144" s="24" t="s">
        <v>215</v>
      </c>
      <c r="C144" s="24" t="s">
        <v>23</v>
      </c>
      <c r="F144" s="17" t="s">
        <v>294</v>
      </c>
      <c r="H144">
        <v>143</v>
      </c>
      <c r="I144" s="24" t="s">
        <v>31</v>
      </c>
      <c r="J144" t="s">
        <v>25</v>
      </c>
      <c r="K144" s="28" t="s">
        <v>107</v>
      </c>
    </row>
    <row r="145" spans="1:11" ht="16" x14ac:dyDescent="0.2">
      <c r="A145" s="49" t="s">
        <v>509</v>
      </c>
      <c r="B145" s="24" t="s">
        <v>215</v>
      </c>
      <c r="C145" s="24" t="s">
        <v>23</v>
      </c>
      <c r="F145" s="17" t="s">
        <v>293</v>
      </c>
      <c r="H145">
        <v>144</v>
      </c>
      <c r="I145" s="24" t="s">
        <v>207</v>
      </c>
      <c r="J145" t="s">
        <v>25</v>
      </c>
      <c r="K145" s="28" t="s">
        <v>107</v>
      </c>
    </row>
    <row r="146" spans="1:11" ht="16" x14ac:dyDescent="0.2">
      <c r="A146" s="49" t="s">
        <v>509</v>
      </c>
      <c r="B146" s="24" t="s">
        <v>215</v>
      </c>
      <c r="C146" s="24" t="s">
        <v>23</v>
      </c>
      <c r="F146" t="s">
        <v>295</v>
      </c>
      <c r="H146">
        <v>145</v>
      </c>
      <c r="I146" s="24" t="s">
        <v>209</v>
      </c>
      <c r="J146" t="s">
        <v>25</v>
      </c>
      <c r="K146" s="28"/>
    </row>
    <row r="147" spans="1:11" ht="16" x14ac:dyDescent="0.2">
      <c r="A147" s="49" t="s">
        <v>509</v>
      </c>
      <c r="C147" s="24" t="s">
        <v>23</v>
      </c>
      <c r="H147">
        <v>146</v>
      </c>
      <c r="I147" s="62" t="s">
        <v>106</v>
      </c>
      <c r="J147" s="63" t="s">
        <v>25</v>
      </c>
      <c r="K147" s="28"/>
    </row>
    <row r="148" spans="1:11" ht="64" x14ac:dyDescent="0.2">
      <c r="A148" s="49" t="s">
        <v>509</v>
      </c>
      <c r="C148" s="24" t="s">
        <v>23</v>
      </c>
      <c r="G148" s="50" t="s">
        <v>522</v>
      </c>
      <c r="H148">
        <v>147</v>
      </c>
      <c r="I148" s="28" t="s">
        <v>516</v>
      </c>
      <c r="J148" t="s">
        <v>25</v>
      </c>
      <c r="K148" s="28"/>
    </row>
    <row r="149" spans="1:11" ht="80" x14ac:dyDescent="0.2">
      <c r="A149" s="49" t="s">
        <v>509</v>
      </c>
      <c r="C149" s="24" t="s">
        <v>23</v>
      </c>
      <c r="G149" s="50" t="s">
        <v>523</v>
      </c>
      <c r="H149">
        <v>148</v>
      </c>
      <c r="I149" s="28" t="s">
        <v>517</v>
      </c>
      <c r="J149" t="s">
        <v>97</v>
      </c>
      <c r="K149" s="28"/>
    </row>
    <row r="150" spans="1:11" ht="64" x14ac:dyDescent="0.2">
      <c r="A150" s="49" t="s">
        <v>509</v>
      </c>
      <c r="C150" s="24" t="s">
        <v>23</v>
      </c>
      <c r="G150" s="50" t="s">
        <v>520</v>
      </c>
      <c r="H150">
        <v>149</v>
      </c>
      <c r="I150" s="28" t="s">
        <v>518</v>
      </c>
      <c r="J150" t="s">
        <v>97</v>
      </c>
      <c r="K150" s="28"/>
    </row>
    <row r="151" spans="1:11" ht="64" x14ac:dyDescent="0.2">
      <c r="A151" s="49" t="s">
        <v>509</v>
      </c>
      <c r="C151" s="24" t="s">
        <v>23</v>
      </c>
      <c r="G151" s="50" t="s">
        <v>521</v>
      </c>
      <c r="H151">
        <v>150</v>
      </c>
      <c r="I151" s="28" t="s">
        <v>519</v>
      </c>
      <c r="J151" t="s">
        <v>97</v>
      </c>
      <c r="K151" s="28"/>
    </row>
  </sheetData>
  <conditionalFormatting sqref="C1:C146 C148:C1048576">
    <cfRule type="duplicateValues" dxfId="105" priority="5"/>
  </conditionalFormatting>
  <conditionalFormatting sqref="F2">
    <cfRule type="duplicateValues" dxfId="104" priority="4"/>
  </conditionalFormatting>
  <conditionalFormatting sqref="I152:I1048576 I1:I146">
    <cfRule type="duplicateValues" dxfId="103" priority="3"/>
  </conditionalFormatting>
  <conditionalFormatting sqref="C147">
    <cfRule type="duplicateValues" dxfId="102" priority="2"/>
  </conditionalFormatting>
  <conditionalFormatting sqref="I147">
    <cfRule type="duplicateValues" dxfId="101" priority="1"/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E2707-5F8A-3747-B121-B71B5828A523}">
  <sheetPr codeName="Sheet6">
    <tabColor theme="8" tint="0.59999389629810485"/>
  </sheetPr>
  <dimension ref="A1:H34"/>
  <sheetViews>
    <sheetView zoomScale="120" zoomScaleNormal="120" workbookViewId="0">
      <selection activeCell="D2" sqref="D2"/>
    </sheetView>
  </sheetViews>
  <sheetFormatPr baseColWidth="10" defaultRowHeight="15" x14ac:dyDescent="0.2"/>
  <cols>
    <col min="1" max="1" width="17.1640625" bestFit="1" customWidth="1"/>
    <col min="2" max="2" width="14.5" bestFit="1" customWidth="1"/>
    <col min="3" max="3" width="7.33203125" bestFit="1" customWidth="1"/>
    <col min="4" max="4" width="34.33203125" customWidth="1"/>
    <col min="5" max="5" width="19.1640625" bestFit="1" customWidth="1"/>
    <col min="6" max="6" width="16.83203125" bestFit="1" customWidth="1"/>
    <col min="7" max="7" width="15.6640625" bestFit="1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ht="32" x14ac:dyDescent="0.2">
      <c r="A2" s="49" t="s">
        <v>493</v>
      </c>
      <c r="B2" t="s">
        <v>308</v>
      </c>
      <c r="C2" t="s">
        <v>310</v>
      </c>
      <c r="D2" s="1" t="s">
        <v>309</v>
      </c>
      <c r="E2">
        <v>1</v>
      </c>
    </row>
    <row r="3" spans="1:8" x14ac:dyDescent="0.2">
      <c r="B3" s="16"/>
    </row>
    <row r="4" spans="1:8" x14ac:dyDescent="0.2">
      <c r="B4" s="16"/>
    </row>
    <row r="5" spans="1:8" x14ac:dyDescent="0.2">
      <c r="B5" s="16"/>
    </row>
    <row r="6" spans="1:8" x14ac:dyDescent="0.2">
      <c r="B6" s="16"/>
    </row>
    <row r="7" spans="1:8" x14ac:dyDescent="0.2">
      <c r="B7" s="16"/>
    </row>
    <row r="8" spans="1:8" x14ac:dyDescent="0.2">
      <c r="B8" s="16"/>
    </row>
    <row r="9" spans="1:8" x14ac:dyDescent="0.2">
      <c r="B9" s="16"/>
    </row>
    <row r="10" spans="1:8" x14ac:dyDescent="0.2">
      <c r="B10" s="16"/>
    </row>
    <row r="11" spans="1:8" x14ac:dyDescent="0.2">
      <c r="B11" s="16"/>
    </row>
    <row r="12" spans="1:8" x14ac:dyDescent="0.2">
      <c r="B12" s="16"/>
    </row>
    <row r="13" spans="1:8" x14ac:dyDescent="0.2">
      <c r="B13" s="16"/>
    </row>
    <row r="14" spans="1:8" x14ac:dyDescent="0.2">
      <c r="B14" s="16"/>
    </row>
    <row r="15" spans="1:8" x14ac:dyDescent="0.2">
      <c r="B15" s="16"/>
    </row>
    <row r="16" spans="1:8" x14ac:dyDescent="0.2">
      <c r="B16" s="16"/>
    </row>
    <row r="17" spans="2:2" x14ac:dyDescent="0.2">
      <c r="B17" s="16"/>
    </row>
    <row r="18" spans="2:2" x14ac:dyDescent="0.2">
      <c r="B18" s="16"/>
    </row>
    <row r="19" spans="2:2" x14ac:dyDescent="0.2">
      <c r="B19" s="16"/>
    </row>
    <row r="20" spans="2:2" x14ac:dyDescent="0.2">
      <c r="B20" s="16"/>
    </row>
    <row r="21" spans="2:2" x14ac:dyDescent="0.2">
      <c r="B21" s="16"/>
    </row>
    <row r="22" spans="2:2" x14ac:dyDescent="0.2">
      <c r="B22" s="16"/>
    </row>
    <row r="23" spans="2:2" x14ac:dyDescent="0.2">
      <c r="B23" s="16"/>
    </row>
    <row r="24" spans="2:2" x14ac:dyDescent="0.2">
      <c r="B24" s="16"/>
    </row>
    <row r="25" spans="2:2" x14ac:dyDescent="0.2">
      <c r="B25" s="16"/>
    </row>
    <row r="26" spans="2:2" x14ac:dyDescent="0.2">
      <c r="B26" s="16"/>
    </row>
    <row r="27" spans="2:2" x14ac:dyDescent="0.2">
      <c r="B27" s="16"/>
    </row>
    <row r="28" spans="2:2" x14ac:dyDescent="0.2">
      <c r="B28" s="16"/>
    </row>
    <row r="29" spans="2:2" x14ac:dyDescent="0.2">
      <c r="B29" s="16"/>
    </row>
    <row r="30" spans="2:2" x14ac:dyDescent="0.2">
      <c r="B30" s="16"/>
    </row>
    <row r="31" spans="2:2" x14ac:dyDescent="0.2">
      <c r="B31" s="16"/>
    </row>
    <row r="32" spans="2:2" x14ac:dyDescent="0.2">
      <c r="B32" s="16"/>
    </row>
    <row r="33" spans="2:2" x14ac:dyDescent="0.2">
      <c r="B33" s="16"/>
    </row>
    <row r="34" spans="2:2" x14ac:dyDescent="0.2">
      <c r="B34" s="16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57E68-B3AF-1C44-BFDB-2D8BC8CB973B}">
  <sheetPr codeName="Sheet7">
    <tabColor theme="8" tint="0.59999389629810485"/>
  </sheetPr>
  <dimension ref="A1:V21"/>
  <sheetViews>
    <sheetView workbookViewId="0">
      <selection activeCell="L19" sqref="L19"/>
    </sheetView>
  </sheetViews>
  <sheetFormatPr baseColWidth="10" defaultColWidth="8.83203125" defaultRowHeight="15" x14ac:dyDescent="0.2"/>
  <cols>
    <col min="1" max="1" width="17.1640625" style="24" bestFit="1" customWidth="1"/>
    <col min="2" max="2" width="13.5" style="24" bestFit="1" customWidth="1"/>
    <col min="3" max="3" width="33" customWidth="1"/>
    <col min="4" max="4" width="13.6640625" bestFit="1" customWidth="1"/>
    <col min="5" max="5" width="16.83203125" bestFit="1" customWidth="1"/>
    <col min="6" max="6" width="27.6640625" bestFit="1" customWidth="1"/>
    <col min="7" max="7" width="24.1640625" customWidth="1"/>
    <col min="8" max="8" width="9" bestFit="1" customWidth="1"/>
    <col min="9" max="9" width="33.1640625" customWidth="1"/>
    <col min="10" max="10" width="21.1640625" bestFit="1" customWidth="1"/>
    <col min="11" max="11" width="11.33203125" bestFit="1" customWidth="1"/>
    <col min="12" max="12" width="18.83203125" customWidth="1"/>
    <col min="13" max="13" width="27" bestFit="1" customWidth="1"/>
    <col min="14" max="14" width="10" bestFit="1" customWidth="1"/>
    <col min="15" max="15" width="10" customWidth="1"/>
    <col min="16" max="16" width="33.33203125" customWidth="1"/>
    <col min="17" max="17" width="37.83203125" customWidth="1"/>
    <col min="18" max="18" width="16.33203125" bestFit="1" customWidth="1"/>
    <col min="19" max="19" width="12.1640625" bestFit="1" customWidth="1"/>
    <col min="20" max="20" width="15.33203125" bestFit="1" customWidth="1"/>
    <col min="21" max="21" width="16.6640625" bestFit="1" customWidth="1"/>
    <col min="22" max="22" width="54.83203125" customWidth="1"/>
  </cols>
  <sheetData>
    <row r="1" spans="1:22" ht="16" x14ac:dyDescent="0.2">
      <c r="A1" s="24" t="s">
        <v>0</v>
      </c>
      <c r="B1" s="24" t="s">
        <v>1</v>
      </c>
      <c r="C1" s="11" t="s">
        <v>9</v>
      </c>
      <c r="D1" s="11" t="s">
        <v>10</v>
      </c>
      <c r="E1" s="11" t="s">
        <v>11</v>
      </c>
      <c r="F1" s="11" t="s">
        <v>12</v>
      </c>
      <c r="G1" s="11" t="s">
        <v>13</v>
      </c>
      <c r="H1" t="s">
        <v>14</v>
      </c>
      <c r="I1" s="11" t="s">
        <v>15</v>
      </c>
      <c r="J1" s="11" t="s">
        <v>16</v>
      </c>
      <c r="K1" s="11" t="s">
        <v>106</v>
      </c>
      <c r="L1" s="56" t="s">
        <v>559</v>
      </c>
      <c r="M1" s="11" t="s">
        <v>17</v>
      </c>
      <c r="N1" s="11" t="s">
        <v>18</v>
      </c>
      <c r="O1" s="57" t="s">
        <v>196</v>
      </c>
      <c r="P1" s="1" t="s">
        <v>515</v>
      </c>
      <c r="Q1" s="51" t="s">
        <v>514</v>
      </c>
      <c r="R1" s="11" t="s">
        <v>19</v>
      </c>
      <c r="S1" s="11" t="s">
        <v>20</v>
      </c>
      <c r="T1" s="11" t="s">
        <v>21</v>
      </c>
      <c r="U1" s="11" t="s">
        <v>22</v>
      </c>
      <c r="V1" s="11" t="s">
        <v>197</v>
      </c>
    </row>
    <row r="2" spans="1:22" ht="160" x14ac:dyDescent="0.2">
      <c r="A2" s="49" t="s">
        <v>493</v>
      </c>
      <c r="B2" s="24" t="s">
        <v>310</v>
      </c>
      <c r="C2" s="24" t="s">
        <v>23</v>
      </c>
      <c r="E2" s="4"/>
      <c r="F2" s="24" t="s">
        <v>511</v>
      </c>
      <c r="G2" s="4"/>
      <c r="H2">
        <v>1</v>
      </c>
      <c r="I2" s="4" t="s">
        <v>208</v>
      </c>
      <c r="J2" s="3" t="s">
        <v>195</v>
      </c>
      <c r="L2" s="4" t="s">
        <v>560</v>
      </c>
      <c r="M2" s="4" t="s">
        <v>524</v>
      </c>
      <c r="N2" s="3" t="s">
        <v>26</v>
      </c>
      <c r="O2" s="33"/>
      <c r="P2" s="1" t="s">
        <v>540</v>
      </c>
      <c r="Q2" s="1" t="s">
        <v>541</v>
      </c>
      <c r="R2" s="3"/>
      <c r="S2" s="3"/>
      <c r="T2" s="3"/>
      <c r="U2" s="3"/>
      <c r="V2" s="4"/>
    </row>
    <row r="3" spans="1:22" ht="16" x14ac:dyDescent="0.2">
      <c r="A3" s="49" t="s">
        <v>494</v>
      </c>
      <c r="B3" s="24" t="s">
        <v>310</v>
      </c>
      <c r="C3" s="28" t="s">
        <v>312</v>
      </c>
      <c r="D3" t="s">
        <v>195</v>
      </c>
      <c r="H3">
        <v>2</v>
      </c>
      <c r="I3" s="28" t="s">
        <v>312</v>
      </c>
      <c r="J3" s="28" t="s">
        <v>25</v>
      </c>
      <c r="K3" t="s">
        <v>107</v>
      </c>
      <c r="N3" t="s">
        <v>26</v>
      </c>
      <c r="O3" t="s">
        <v>542</v>
      </c>
      <c r="P3" s="2"/>
      <c r="Q3" s="2" t="s">
        <v>536</v>
      </c>
    </row>
    <row r="4" spans="1:22" ht="16" x14ac:dyDescent="0.2">
      <c r="A4" s="49" t="s">
        <v>495</v>
      </c>
      <c r="B4" s="24" t="s">
        <v>310</v>
      </c>
      <c r="C4" s="28" t="s">
        <v>318</v>
      </c>
      <c r="D4" s="28" t="s">
        <v>25</v>
      </c>
      <c r="H4">
        <v>3</v>
      </c>
      <c r="I4" s="28" t="s">
        <v>318</v>
      </c>
      <c r="J4" s="28" t="s">
        <v>25</v>
      </c>
      <c r="K4" t="s">
        <v>107</v>
      </c>
    </row>
    <row r="5" spans="1:22" ht="16" x14ac:dyDescent="0.2">
      <c r="A5" s="49" t="s">
        <v>496</v>
      </c>
      <c r="B5" s="24" t="s">
        <v>310</v>
      </c>
      <c r="C5" s="28" t="s">
        <v>316</v>
      </c>
      <c r="D5" s="28" t="s">
        <v>25</v>
      </c>
      <c r="H5">
        <v>4</v>
      </c>
      <c r="I5" s="28" t="s">
        <v>316</v>
      </c>
      <c r="J5" s="28" t="s">
        <v>25</v>
      </c>
      <c r="K5" t="s">
        <v>107</v>
      </c>
    </row>
    <row r="6" spans="1:22" ht="16" x14ac:dyDescent="0.2">
      <c r="A6" s="49" t="s">
        <v>497</v>
      </c>
      <c r="B6" s="24" t="s">
        <v>310</v>
      </c>
      <c r="C6" s="28" t="s">
        <v>320</v>
      </c>
      <c r="D6" s="28" t="s">
        <v>28</v>
      </c>
      <c r="H6">
        <v>5</v>
      </c>
      <c r="I6" s="28" t="s">
        <v>320</v>
      </c>
      <c r="J6" s="28" t="s">
        <v>28</v>
      </c>
      <c r="K6" t="s">
        <v>107</v>
      </c>
    </row>
    <row r="7" spans="1:22" ht="16" x14ac:dyDescent="0.2">
      <c r="A7" s="49" t="s">
        <v>498</v>
      </c>
      <c r="B7" s="24" t="s">
        <v>310</v>
      </c>
      <c r="C7" s="28" t="s">
        <v>313</v>
      </c>
      <c r="D7" s="28" t="s">
        <v>28</v>
      </c>
      <c r="H7">
        <v>6</v>
      </c>
      <c r="I7" s="28" t="s">
        <v>313</v>
      </c>
      <c r="J7" s="28" t="s">
        <v>28</v>
      </c>
      <c r="K7" t="s">
        <v>107</v>
      </c>
    </row>
    <row r="8" spans="1:22" ht="16" x14ac:dyDescent="0.2">
      <c r="A8" s="49" t="s">
        <v>499</v>
      </c>
      <c r="B8" s="24" t="s">
        <v>310</v>
      </c>
      <c r="C8" s="28" t="s">
        <v>319</v>
      </c>
      <c r="D8" s="28" t="s">
        <v>25</v>
      </c>
      <c r="H8">
        <v>7</v>
      </c>
      <c r="I8" s="28" t="s">
        <v>319</v>
      </c>
      <c r="J8" s="28" t="s">
        <v>25</v>
      </c>
      <c r="K8" t="s">
        <v>107</v>
      </c>
    </row>
    <row r="9" spans="1:22" ht="16" x14ac:dyDescent="0.2">
      <c r="A9" s="49" t="s">
        <v>500</v>
      </c>
      <c r="B9" s="24" t="s">
        <v>310</v>
      </c>
      <c r="C9" s="28" t="s">
        <v>314</v>
      </c>
      <c r="D9" s="28" t="s">
        <v>28</v>
      </c>
      <c r="H9">
        <v>8</v>
      </c>
      <c r="I9" s="28" t="s">
        <v>314</v>
      </c>
      <c r="J9" s="28" t="s">
        <v>28</v>
      </c>
      <c r="K9" t="s">
        <v>107</v>
      </c>
    </row>
    <row r="10" spans="1:22" ht="16" x14ac:dyDescent="0.2">
      <c r="A10" s="49" t="s">
        <v>501</v>
      </c>
      <c r="B10" s="24" t="s">
        <v>310</v>
      </c>
      <c r="C10" s="28" t="s">
        <v>315</v>
      </c>
      <c r="D10" s="28" t="s">
        <v>25</v>
      </c>
      <c r="H10">
        <v>9</v>
      </c>
      <c r="I10" s="28" t="s">
        <v>315</v>
      </c>
      <c r="J10" s="28" t="s">
        <v>25</v>
      </c>
      <c r="K10" t="s">
        <v>107</v>
      </c>
    </row>
    <row r="11" spans="1:22" ht="16" x14ac:dyDescent="0.2">
      <c r="A11" s="49" t="s">
        <v>502</v>
      </c>
      <c r="B11" s="24" t="s">
        <v>310</v>
      </c>
      <c r="C11" s="28" t="s">
        <v>317</v>
      </c>
      <c r="D11" s="28" t="s">
        <v>25</v>
      </c>
      <c r="H11">
        <v>10</v>
      </c>
      <c r="I11" s="28" t="s">
        <v>317</v>
      </c>
      <c r="J11" s="28" t="s">
        <v>25</v>
      </c>
      <c r="K11" t="s">
        <v>107</v>
      </c>
    </row>
    <row r="12" spans="1:22" ht="16" x14ac:dyDescent="0.2">
      <c r="A12" s="49" t="s">
        <v>503</v>
      </c>
      <c r="B12" s="24" t="s">
        <v>310</v>
      </c>
      <c r="C12" s="28" t="s">
        <v>94</v>
      </c>
      <c r="D12" s="28" t="s">
        <v>95</v>
      </c>
      <c r="H12">
        <v>11</v>
      </c>
      <c r="I12" s="28" t="s">
        <v>94</v>
      </c>
      <c r="J12" s="28" t="s">
        <v>95</v>
      </c>
      <c r="R12" t="s">
        <v>107</v>
      </c>
    </row>
    <row r="13" spans="1:22" ht="16" x14ac:dyDescent="0.2">
      <c r="A13" s="49" t="s">
        <v>504</v>
      </c>
      <c r="B13" s="24" t="s">
        <v>310</v>
      </c>
      <c r="C13" s="28" t="s">
        <v>96</v>
      </c>
      <c r="D13" s="28" t="s">
        <v>97</v>
      </c>
      <c r="H13">
        <v>12</v>
      </c>
      <c r="I13" s="28" t="s">
        <v>96</v>
      </c>
      <c r="J13" s="28" t="s">
        <v>97</v>
      </c>
      <c r="O13" t="s">
        <v>543</v>
      </c>
    </row>
    <row r="14" spans="1:22" ht="16" x14ac:dyDescent="0.2">
      <c r="A14" s="49" t="s">
        <v>505</v>
      </c>
      <c r="B14" s="24" t="s">
        <v>310</v>
      </c>
      <c r="C14" s="24" t="s">
        <v>23</v>
      </c>
      <c r="F14" s="17" t="s">
        <v>321</v>
      </c>
      <c r="H14">
        <v>13</v>
      </c>
      <c r="I14" s="24" t="s">
        <v>31</v>
      </c>
      <c r="J14" t="s">
        <v>25</v>
      </c>
      <c r="K14" t="s">
        <v>107</v>
      </c>
    </row>
    <row r="15" spans="1:22" ht="16" x14ac:dyDescent="0.2">
      <c r="A15" s="49" t="s">
        <v>506</v>
      </c>
      <c r="B15" s="24" t="s">
        <v>310</v>
      </c>
      <c r="C15" s="24" t="s">
        <v>23</v>
      </c>
      <c r="F15" s="17" t="s">
        <v>322</v>
      </c>
      <c r="H15">
        <v>14</v>
      </c>
      <c r="I15" s="24" t="s">
        <v>207</v>
      </c>
      <c r="J15" t="s">
        <v>25</v>
      </c>
      <c r="K15" t="s">
        <v>107</v>
      </c>
    </row>
    <row r="16" spans="1:22" ht="16" x14ac:dyDescent="0.2">
      <c r="A16" s="49" t="s">
        <v>507</v>
      </c>
      <c r="B16" s="24" t="s">
        <v>310</v>
      </c>
      <c r="C16" s="24" t="s">
        <v>23</v>
      </c>
      <c r="F16" t="s">
        <v>295</v>
      </c>
      <c r="H16">
        <v>15</v>
      </c>
      <c r="I16" s="24" t="s">
        <v>209</v>
      </c>
      <c r="J16" t="s">
        <v>25</v>
      </c>
      <c r="K16" t="s">
        <v>107</v>
      </c>
    </row>
    <row r="17" spans="1:10" ht="16" x14ac:dyDescent="0.2">
      <c r="A17" s="49" t="s">
        <v>508</v>
      </c>
      <c r="C17" s="24" t="s">
        <v>23</v>
      </c>
      <c r="H17">
        <v>16</v>
      </c>
      <c r="I17" s="62" t="s">
        <v>106</v>
      </c>
      <c r="J17" s="63" t="s">
        <v>25</v>
      </c>
    </row>
    <row r="18" spans="1:10" ht="64" x14ac:dyDescent="0.2">
      <c r="A18" s="49" t="s">
        <v>508</v>
      </c>
      <c r="C18" s="24" t="s">
        <v>23</v>
      </c>
      <c r="G18" s="50" t="s">
        <v>522</v>
      </c>
      <c r="H18">
        <v>17</v>
      </c>
      <c r="I18" s="28" t="s">
        <v>516</v>
      </c>
      <c r="J18" t="s">
        <v>25</v>
      </c>
    </row>
    <row r="19" spans="1:10" ht="80" x14ac:dyDescent="0.2">
      <c r="A19" s="49" t="s">
        <v>525</v>
      </c>
      <c r="C19" s="24" t="s">
        <v>23</v>
      </c>
      <c r="G19" s="50" t="s">
        <v>523</v>
      </c>
      <c r="H19">
        <v>18</v>
      </c>
      <c r="I19" s="28" t="s">
        <v>517</v>
      </c>
      <c r="J19" t="s">
        <v>97</v>
      </c>
    </row>
    <row r="20" spans="1:10" ht="64" x14ac:dyDescent="0.2">
      <c r="A20" s="49" t="s">
        <v>526</v>
      </c>
      <c r="C20" s="24" t="s">
        <v>23</v>
      </c>
      <c r="G20" s="50" t="s">
        <v>520</v>
      </c>
      <c r="H20">
        <v>19</v>
      </c>
      <c r="I20" s="28" t="s">
        <v>518</v>
      </c>
      <c r="J20" t="s">
        <v>97</v>
      </c>
    </row>
    <row r="21" spans="1:10" ht="64" x14ac:dyDescent="0.2">
      <c r="A21" s="49" t="s">
        <v>527</v>
      </c>
      <c r="C21" s="24" t="s">
        <v>23</v>
      </c>
      <c r="G21" s="50" t="s">
        <v>521</v>
      </c>
      <c r="H21">
        <v>20</v>
      </c>
      <c r="I21" s="28" t="s">
        <v>519</v>
      </c>
      <c r="J21" t="s">
        <v>97</v>
      </c>
    </row>
  </sheetData>
  <phoneticPr fontId="2" type="noConversion"/>
  <conditionalFormatting sqref="C1:C2 C14:C16 C18:C1048576">
    <cfRule type="duplicateValues" dxfId="83" priority="6"/>
  </conditionalFormatting>
  <conditionalFormatting sqref="C1:C16 C18:C1048576">
    <cfRule type="duplicateValues" dxfId="82" priority="5"/>
  </conditionalFormatting>
  <conditionalFormatting sqref="F2">
    <cfRule type="duplicateValues" dxfId="81" priority="3"/>
    <cfRule type="duplicateValues" dxfId="80" priority="4"/>
  </conditionalFormatting>
  <conditionalFormatting sqref="C17">
    <cfRule type="duplicateValues" dxfId="79" priority="2"/>
  </conditionalFormatting>
  <conditionalFormatting sqref="I17">
    <cfRule type="duplicateValues" dxfId="78" priority="1"/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4DAAF-7071-C14B-97EB-71298460E7D2}">
  <sheetPr codeName="Sheet8">
    <tabColor theme="8" tint="0.59999389629810485"/>
  </sheetPr>
  <dimension ref="A1:H34"/>
  <sheetViews>
    <sheetView workbookViewId="0">
      <selection activeCell="B2" sqref="B2"/>
    </sheetView>
  </sheetViews>
  <sheetFormatPr baseColWidth="10" defaultRowHeight="15" x14ac:dyDescent="0.2"/>
  <cols>
    <col min="1" max="1" width="17.1640625" bestFit="1" customWidth="1"/>
    <col min="2" max="2" width="14.5" bestFit="1" customWidth="1"/>
    <col min="3" max="3" width="7.33203125" bestFit="1" customWidth="1"/>
    <col min="4" max="4" width="34.33203125" customWidth="1"/>
    <col min="5" max="5" width="19.1640625" bestFit="1" customWidth="1"/>
    <col min="6" max="6" width="16.83203125" bestFit="1" customWidth="1"/>
    <col min="7" max="7" width="15.6640625" bestFit="1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ht="17" x14ac:dyDescent="0.2">
      <c r="A2" s="27" t="s">
        <v>323</v>
      </c>
      <c r="B2" s="27" t="s">
        <v>324</v>
      </c>
      <c r="C2" t="s">
        <v>103</v>
      </c>
      <c r="D2" s="1" t="s">
        <v>529</v>
      </c>
      <c r="E2">
        <v>1</v>
      </c>
      <c r="H2" t="s">
        <v>327</v>
      </c>
    </row>
    <row r="3" spans="1:8" ht="17" x14ac:dyDescent="0.2">
      <c r="A3" s="27" t="s">
        <v>325</v>
      </c>
      <c r="B3" s="27" t="s">
        <v>326</v>
      </c>
      <c r="C3" t="s">
        <v>8</v>
      </c>
      <c r="D3" s="1" t="s">
        <v>530</v>
      </c>
      <c r="E3">
        <v>1</v>
      </c>
      <c r="H3" t="s">
        <v>327</v>
      </c>
    </row>
    <row r="4" spans="1:8" x14ac:dyDescent="0.2">
      <c r="B4" s="16"/>
    </row>
    <row r="5" spans="1:8" x14ac:dyDescent="0.2">
      <c r="B5" s="16"/>
    </row>
    <row r="6" spans="1:8" x14ac:dyDescent="0.2">
      <c r="B6" s="16"/>
    </row>
    <row r="7" spans="1:8" x14ac:dyDescent="0.2">
      <c r="B7" s="16"/>
    </row>
    <row r="8" spans="1:8" x14ac:dyDescent="0.2">
      <c r="B8" s="16"/>
    </row>
    <row r="9" spans="1:8" x14ac:dyDescent="0.2">
      <c r="B9" s="16"/>
    </row>
    <row r="10" spans="1:8" x14ac:dyDescent="0.2">
      <c r="B10" s="16"/>
    </row>
    <row r="11" spans="1:8" x14ac:dyDescent="0.2">
      <c r="B11" s="16"/>
    </row>
    <row r="12" spans="1:8" x14ac:dyDescent="0.2">
      <c r="B12" s="16"/>
    </row>
    <row r="13" spans="1:8" x14ac:dyDescent="0.2">
      <c r="B13" s="16"/>
    </row>
    <row r="14" spans="1:8" x14ac:dyDescent="0.2">
      <c r="B14" s="16"/>
    </row>
    <row r="15" spans="1:8" x14ac:dyDescent="0.2">
      <c r="B15" s="16"/>
    </row>
    <row r="16" spans="1:8" x14ac:dyDescent="0.2">
      <c r="B16" s="16"/>
    </row>
    <row r="17" spans="2:2" x14ac:dyDescent="0.2">
      <c r="B17" s="16"/>
    </row>
    <row r="18" spans="2:2" x14ac:dyDescent="0.2">
      <c r="B18" s="16"/>
    </row>
    <row r="19" spans="2:2" x14ac:dyDescent="0.2">
      <c r="B19" s="16"/>
    </row>
    <row r="20" spans="2:2" x14ac:dyDescent="0.2">
      <c r="B20" s="16"/>
    </row>
    <row r="21" spans="2:2" x14ac:dyDescent="0.2">
      <c r="B21" s="16"/>
    </row>
    <row r="22" spans="2:2" x14ac:dyDescent="0.2">
      <c r="B22" s="16"/>
    </row>
    <row r="23" spans="2:2" x14ac:dyDescent="0.2">
      <c r="B23" s="16"/>
    </row>
    <row r="24" spans="2:2" x14ac:dyDescent="0.2">
      <c r="B24" s="16"/>
    </row>
    <row r="25" spans="2:2" x14ac:dyDescent="0.2">
      <c r="B25" s="16"/>
    </row>
    <row r="26" spans="2:2" x14ac:dyDescent="0.2">
      <c r="B26" s="16"/>
    </row>
    <row r="27" spans="2:2" x14ac:dyDescent="0.2">
      <c r="B27" s="16"/>
    </row>
    <row r="28" spans="2:2" x14ac:dyDescent="0.2">
      <c r="B28" s="16"/>
    </row>
    <row r="29" spans="2:2" x14ac:dyDescent="0.2">
      <c r="B29" s="16"/>
    </row>
    <row r="30" spans="2:2" x14ac:dyDescent="0.2">
      <c r="B30" s="16"/>
    </row>
    <row r="31" spans="2:2" x14ac:dyDescent="0.2">
      <c r="B31" s="16"/>
    </row>
    <row r="32" spans="2:2" x14ac:dyDescent="0.2">
      <c r="B32" s="16"/>
    </row>
    <row r="33" spans="2:2" x14ac:dyDescent="0.2">
      <c r="B33" s="16"/>
    </row>
    <row r="34" spans="2:2" x14ac:dyDescent="0.2">
      <c r="B34" s="16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10BE6-E0EA-8946-A9D9-5F99B9F27003}">
  <sheetPr codeName="Sheet9">
    <tabColor theme="8" tint="0.59999389629810485"/>
  </sheetPr>
  <dimension ref="A1:V120"/>
  <sheetViews>
    <sheetView zoomScale="120" zoomScaleNormal="120" workbookViewId="0">
      <pane ySplit="1" topLeftCell="A23" activePane="bottomLeft" state="frozen"/>
      <selection activeCell="G1" sqref="G1"/>
      <selection pane="bottomLeft" activeCell="K6" sqref="K6"/>
    </sheetView>
  </sheetViews>
  <sheetFormatPr baseColWidth="10" defaultColWidth="8.83203125" defaultRowHeight="15" x14ac:dyDescent="0.2"/>
  <cols>
    <col min="1" max="1" width="15.33203125" style="24" bestFit="1" customWidth="1"/>
    <col min="2" max="2" width="13.5" style="24" bestFit="1" customWidth="1"/>
    <col min="3" max="3" width="33" customWidth="1"/>
    <col min="4" max="4" width="13.6640625" bestFit="1" customWidth="1"/>
    <col min="5" max="5" width="16.83203125" bestFit="1" customWidth="1"/>
    <col min="6" max="6" width="33" customWidth="1"/>
    <col min="7" max="7" width="24.1640625" customWidth="1"/>
    <col min="8" max="8" width="9" bestFit="1" customWidth="1"/>
    <col min="9" max="9" width="33.1640625" customWidth="1"/>
    <col min="10" max="10" width="21.1640625" bestFit="1" customWidth="1"/>
    <col min="11" max="11" width="21.1640625" customWidth="1"/>
    <col min="12" max="12" width="26.83203125" customWidth="1"/>
    <col min="13" max="13" width="27" bestFit="1" customWidth="1"/>
    <col min="14" max="14" width="10" bestFit="1" customWidth="1"/>
    <col min="15" max="15" width="10" customWidth="1"/>
    <col min="16" max="16" width="39.33203125" customWidth="1"/>
    <col min="17" max="17" width="35.5" customWidth="1"/>
    <col min="18" max="18" width="16.33203125" bestFit="1" customWidth="1"/>
    <col min="19" max="19" width="12.1640625" bestFit="1" customWidth="1"/>
    <col min="20" max="20" width="15.33203125" bestFit="1" customWidth="1"/>
    <col min="21" max="21" width="16.6640625" bestFit="1" customWidth="1"/>
    <col min="22" max="22" width="54.83203125" customWidth="1"/>
  </cols>
  <sheetData>
    <row r="1" spans="1:22" ht="16" x14ac:dyDescent="0.2">
      <c r="A1" s="24" t="s">
        <v>0</v>
      </c>
      <c r="B1" s="24" t="s">
        <v>1</v>
      </c>
      <c r="C1" s="11" t="s">
        <v>9</v>
      </c>
      <c r="D1" s="11" t="s">
        <v>10</v>
      </c>
      <c r="E1" s="11" t="s">
        <v>11</v>
      </c>
      <c r="F1" s="11" t="s">
        <v>12</v>
      </c>
      <c r="G1" s="11" t="s">
        <v>13</v>
      </c>
      <c r="H1" t="s">
        <v>14</v>
      </c>
      <c r="I1" s="11" t="s">
        <v>15</v>
      </c>
      <c r="J1" s="11" t="s">
        <v>16</v>
      </c>
      <c r="K1" s="11" t="s">
        <v>106</v>
      </c>
      <c r="L1" s="56" t="s">
        <v>559</v>
      </c>
      <c r="M1" s="11" t="s">
        <v>17</v>
      </c>
      <c r="N1" s="11" t="s">
        <v>18</v>
      </c>
      <c r="O1" s="57" t="s">
        <v>196</v>
      </c>
      <c r="P1" s="1" t="s">
        <v>515</v>
      </c>
      <c r="Q1" s="1" t="s">
        <v>514</v>
      </c>
      <c r="R1" s="11" t="s">
        <v>19</v>
      </c>
      <c r="S1" s="11" t="s">
        <v>20</v>
      </c>
      <c r="T1" s="11" t="s">
        <v>21</v>
      </c>
      <c r="U1" s="11" t="s">
        <v>22</v>
      </c>
      <c r="V1" s="11" t="s">
        <v>197</v>
      </c>
    </row>
    <row r="2" spans="1:22" ht="208" x14ac:dyDescent="0.2">
      <c r="A2" s="1" t="s">
        <v>323</v>
      </c>
      <c r="B2" s="1" t="s">
        <v>103</v>
      </c>
      <c r="C2" s="28" t="s">
        <v>23</v>
      </c>
      <c r="F2" t="s">
        <v>330</v>
      </c>
      <c r="H2">
        <v>1</v>
      </c>
      <c r="I2" t="s">
        <v>208</v>
      </c>
      <c r="J2" t="s">
        <v>195</v>
      </c>
      <c r="L2" s="1" t="s">
        <v>561</v>
      </c>
      <c r="M2" s="1" t="s">
        <v>531</v>
      </c>
      <c r="O2" t="s">
        <v>542</v>
      </c>
      <c r="P2" s="1" t="s">
        <v>545</v>
      </c>
      <c r="Q2" s="1" t="s">
        <v>544</v>
      </c>
    </row>
    <row r="3" spans="1:22" ht="16" x14ac:dyDescent="0.2">
      <c r="A3" s="24" t="s">
        <v>323</v>
      </c>
      <c r="B3" s="24" t="s">
        <v>103</v>
      </c>
      <c r="C3" s="28" t="s">
        <v>23</v>
      </c>
      <c r="F3" s="28" t="s">
        <v>331</v>
      </c>
      <c r="H3">
        <v>2</v>
      </c>
      <c r="I3" t="s">
        <v>24</v>
      </c>
      <c r="J3" t="s">
        <v>25</v>
      </c>
      <c r="O3" t="s">
        <v>542</v>
      </c>
      <c r="P3" s="2"/>
      <c r="Q3" s="2" t="s">
        <v>536</v>
      </c>
    </row>
    <row r="4" spans="1:22" ht="176" x14ac:dyDescent="0.2">
      <c r="A4" s="24" t="s">
        <v>323</v>
      </c>
      <c r="B4" s="24" t="s">
        <v>103</v>
      </c>
      <c r="C4" s="28" t="s">
        <v>23</v>
      </c>
      <c r="F4" s="1" t="s">
        <v>473</v>
      </c>
      <c r="H4">
        <v>3</v>
      </c>
      <c r="I4" t="s">
        <v>407</v>
      </c>
      <c r="J4" t="s">
        <v>25</v>
      </c>
      <c r="O4" t="s">
        <v>542</v>
      </c>
    </row>
    <row r="5" spans="1:22" ht="96" x14ac:dyDescent="0.2">
      <c r="A5" s="24" t="s">
        <v>323</v>
      </c>
      <c r="B5" s="24" t="s">
        <v>103</v>
      </c>
      <c r="C5" s="28" t="s">
        <v>23</v>
      </c>
      <c r="F5" s="1" t="s">
        <v>532</v>
      </c>
      <c r="H5">
        <v>4</v>
      </c>
      <c r="I5" t="s">
        <v>408</v>
      </c>
      <c r="J5" t="s">
        <v>25</v>
      </c>
      <c r="O5" t="s">
        <v>542</v>
      </c>
    </row>
    <row r="6" spans="1:22" ht="256" x14ac:dyDescent="0.2">
      <c r="A6" s="24" t="s">
        <v>323</v>
      </c>
      <c r="B6" s="24" t="s">
        <v>103</v>
      </c>
      <c r="C6" s="28" t="s">
        <v>23</v>
      </c>
      <c r="F6" s="1" t="s">
        <v>533</v>
      </c>
      <c r="H6">
        <v>5</v>
      </c>
      <c r="I6" t="s">
        <v>409</v>
      </c>
      <c r="J6" t="s">
        <v>25</v>
      </c>
      <c r="O6" t="s">
        <v>542</v>
      </c>
    </row>
    <row r="7" spans="1:22" ht="16" x14ac:dyDescent="0.2">
      <c r="A7" s="24" t="s">
        <v>323</v>
      </c>
      <c r="B7" s="24" t="s">
        <v>103</v>
      </c>
      <c r="C7" s="28" t="s">
        <v>328</v>
      </c>
      <c r="D7" s="28" t="s">
        <v>25</v>
      </c>
      <c r="H7">
        <v>6</v>
      </c>
      <c r="I7" s="24" t="s">
        <v>374</v>
      </c>
      <c r="J7" s="28" t="s">
        <v>25</v>
      </c>
      <c r="K7" t="s">
        <v>107</v>
      </c>
      <c r="O7" t="s">
        <v>547</v>
      </c>
    </row>
    <row r="8" spans="1:22" ht="16" x14ac:dyDescent="0.2">
      <c r="A8" s="24" t="s">
        <v>323</v>
      </c>
      <c r="B8" s="24" t="s">
        <v>103</v>
      </c>
      <c r="C8" s="28" t="s">
        <v>329</v>
      </c>
      <c r="D8" s="28" t="s">
        <v>25</v>
      </c>
      <c r="H8">
        <v>7</v>
      </c>
      <c r="I8" s="24" t="s">
        <v>375</v>
      </c>
      <c r="J8" s="28" t="s">
        <v>25</v>
      </c>
      <c r="K8" t="s">
        <v>107</v>
      </c>
    </row>
    <row r="9" spans="1:22" ht="16" x14ac:dyDescent="0.2">
      <c r="A9" s="24" t="s">
        <v>323</v>
      </c>
      <c r="B9" s="24" t="s">
        <v>103</v>
      </c>
      <c r="C9" s="28" t="s">
        <v>23</v>
      </c>
      <c r="D9" s="28"/>
      <c r="F9" t="s">
        <v>369</v>
      </c>
      <c r="H9">
        <v>8</v>
      </c>
      <c r="I9" s="24" t="s">
        <v>376</v>
      </c>
      <c r="J9" s="28" t="s">
        <v>28</v>
      </c>
      <c r="K9" t="s">
        <v>107</v>
      </c>
    </row>
    <row r="10" spans="1:22" ht="16" x14ac:dyDescent="0.2">
      <c r="A10" s="24" t="s">
        <v>323</v>
      </c>
      <c r="B10" s="24" t="s">
        <v>103</v>
      </c>
      <c r="C10" s="28" t="s">
        <v>23</v>
      </c>
      <c r="D10" s="28"/>
      <c r="F10" t="s">
        <v>370</v>
      </c>
      <c r="H10">
        <v>9</v>
      </c>
      <c r="I10" s="24" t="s">
        <v>377</v>
      </c>
      <c r="J10" s="28" t="s">
        <v>28</v>
      </c>
      <c r="K10" t="s">
        <v>107</v>
      </c>
    </row>
    <row r="11" spans="1:22" ht="16" x14ac:dyDescent="0.2">
      <c r="A11" s="24" t="s">
        <v>323</v>
      </c>
      <c r="B11" s="24" t="s">
        <v>103</v>
      </c>
      <c r="C11" s="28" t="s">
        <v>23</v>
      </c>
      <c r="D11" s="28"/>
      <c r="F11" t="s">
        <v>371</v>
      </c>
      <c r="H11">
        <v>10</v>
      </c>
      <c r="I11" s="24" t="s">
        <v>378</v>
      </c>
      <c r="J11" s="28" t="s">
        <v>28</v>
      </c>
      <c r="K11" t="s">
        <v>107</v>
      </c>
    </row>
    <row r="12" spans="1:22" ht="16" x14ac:dyDescent="0.2">
      <c r="A12" s="24" t="s">
        <v>323</v>
      </c>
      <c r="B12" s="24" t="s">
        <v>103</v>
      </c>
      <c r="C12" s="28" t="s">
        <v>330</v>
      </c>
      <c r="D12" s="28" t="s">
        <v>25</v>
      </c>
      <c r="H12">
        <v>11</v>
      </c>
      <c r="I12" s="24" t="s">
        <v>379</v>
      </c>
      <c r="J12" s="28" t="s">
        <v>25</v>
      </c>
      <c r="K12" t="s">
        <v>107</v>
      </c>
    </row>
    <row r="13" spans="1:22" ht="16" x14ac:dyDescent="0.2">
      <c r="A13" s="24" t="s">
        <v>323</v>
      </c>
      <c r="B13" s="24" t="s">
        <v>103</v>
      </c>
      <c r="C13" s="28" t="s">
        <v>331</v>
      </c>
      <c r="D13" s="28" t="s">
        <v>25</v>
      </c>
      <c r="H13">
        <v>12</v>
      </c>
      <c r="I13" s="24" t="s">
        <v>380</v>
      </c>
      <c r="J13" s="28" t="s">
        <v>25</v>
      </c>
      <c r="K13" t="s">
        <v>107</v>
      </c>
    </row>
    <row r="14" spans="1:22" ht="16" x14ac:dyDescent="0.2">
      <c r="A14" s="24" t="s">
        <v>323</v>
      </c>
      <c r="B14" s="24" t="s">
        <v>103</v>
      </c>
      <c r="C14" s="28" t="s">
        <v>332</v>
      </c>
      <c r="D14" s="28" t="s">
        <v>333</v>
      </c>
      <c r="H14">
        <v>13</v>
      </c>
      <c r="I14" s="24" t="s">
        <v>381</v>
      </c>
      <c r="J14" s="28" t="s">
        <v>333</v>
      </c>
      <c r="K14" t="s">
        <v>107</v>
      </c>
    </row>
    <row r="15" spans="1:22" ht="16" x14ac:dyDescent="0.2">
      <c r="A15" s="24" t="s">
        <v>323</v>
      </c>
      <c r="B15" s="24" t="s">
        <v>103</v>
      </c>
      <c r="C15" s="28" t="s">
        <v>334</v>
      </c>
      <c r="D15" s="28" t="s">
        <v>335</v>
      </c>
      <c r="H15">
        <v>14</v>
      </c>
      <c r="I15" s="24" t="s">
        <v>382</v>
      </c>
      <c r="J15" s="28" t="s">
        <v>335</v>
      </c>
      <c r="K15" t="s">
        <v>107</v>
      </c>
    </row>
    <row r="16" spans="1:22" ht="16" x14ac:dyDescent="0.2">
      <c r="A16" s="24" t="s">
        <v>323</v>
      </c>
      <c r="B16" s="24" t="s">
        <v>103</v>
      </c>
      <c r="C16" s="28" t="s">
        <v>336</v>
      </c>
      <c r="D16" s="28" t="s">
        <v>335</v>
      </c>
      <c r="H16">
        <v>15</v>
      </c>
      <c r="I16" s="24" t="s">
        <v>383</v>
      </c>
      <c r="J16" s="28" t="s">
        <v>335</v>
      </c>
      <c r="K16" t="s">
        <v>107</v>
      </c>
    </row>
    <row r="17" spans="1:11" ht="32" x14ac:dyDescent="0.2">
      <c r="A17" s="24" t="s">
        <v>323</v>
      </c>
      <c r="B17" s="24" t="s">
        <v>103</v>
      </c>
      <c r="C17" s="28" t="s">
        <v>337</v>
      </c>
      <c r="D17" s="28" t="s">
        <v>335</v>
      </c>
      <c r="H17">
        <v>16</v>
      </c>
      <c r="I17" s="24" t="s">
        <v>384</v>
      </c>
      <c r="J17" s="28" t="s">
        <v>335</v>
      </c>
      <c r="K17" t="s">
        <v>107</v>
      </c>
    </row>
    <row r="18" spans="1:11" ht="16" x14ac:dyDescent="0.2">
      <c r="A18" s="24" t="s">
        <v>323</v>
      </c>
      <c r="B18" s="24" t="s">
        <v>103</v>
      </c>
      <c r="C18" s="28" t="s">
        <v>338</v>
      </c>
      <c r="D18" s="28" t="s">
        <v>335</v>
      </c>
      <c r="H18">
        <v>17</v>
      </c>
      <c r="I18" s="24" t="s">
        <v>385</v>
      </c>
      <c r="J18" s="28" t="s">
        <v>335</v>
      </c>
      <c r="K18" t="s">
        <v>107</v>
      </c>
    </row>
    <row r="19" spans="1:11" ht="16" x14ac:dyDescent="0.2">
      <c r="A19" s="24" t="s">
        <v>323</v>
      </c>
      <c r="B19" s="24" t="s">
        <v>103</v>
      </c>
      <c r="C19" s="28" t="s">
        <v>339</v>
      </c>
      <c r="D19" s="28" t="s">
        <v>335</v>
      </c>
      <c r="H19">
        <v>18</v>
      </c>
      <c r="I19" s="24" t="s">
        <v>386</v>
      </c>
      <c r="J19" s="28" t="s">
        <v>335</v>
      </c>
      <c r="K19" t="s">
        <v>107</v>
      </c>
    </row>
    <row r="20" spans="1:11" ht="16" x14ac:dyDescent="0.2">
      <c r="A20" s="24" t="s">
        <v>323</v>
      </c>
      <c r="B20" s="24" t="s">
        <v>103</v>
      </c>
      <c r="C20" s="28" t="s">
        <v>340</v>
      </c>
      <c r="D20" s="28" t="s">
        <v>335</v>
      </c>
      <c r="H20">
        <v>19</v>
      </c>
      <c r="I20" s="24" t="s">
        <v>387</v>
      </c>
      <c r="J20" s="28" t="s">
        <v>335</v>
      </c>
      <c r="K20" t="s">
        <v>107</v>
      </c>
    </row>
    <row r="21" spans="1:11" ht="16" x14ac:dyDescent="0.2">
      <c r="A21" s="24" t="s">
        <v>323</v>
      </c>
      <c r="B21" s="24" t="s">
        <v>103</v>
      </c>
      <c r="C21" s="28" t="s">
        <v>341</v>
      </c>
      <c r="D21" s="28" t="s">
        <v>335</v>
      </c>
      <c r="H21">
        <v>20</v>
      </c>
      <c r="I21" s="24" t="s">
        <v>388</v>
      </c>
      <c r="J21" s="28" t="s">
        <v>335</v>
      </c>
      <c r="K21" t="s">
        <v>107</v>
      </c>
    </row>
    <row r="22" spans="1:11" ht="16" x14ac:dyDescent="0.2">
      <c r="A22" s="24" t="s">
        <v>323</v>
      </c>
      <c r="B22" s="24" t="s">
        <v>103</v>
      </c>
      <c r="C22" s="28" t="s">
        <v>342</v>
      </c>
      <c r="D22" s="28" t="s">
        <v>335</v>
      </c>
      <c r="H22">
        <v>21</v>
      </c>
      <c r="I22" s="24" t="s">
        <v>389</v>
      </c>
      <c r="J22" s="28" t="s">
        <v>335</v>
      </c>
      <c r="K22" t="s">
        <v>107</v>
      </c>
    </row>
    <row r="23" spans="1:11" ht="16" x14ac:dyDescent="0.2">
      <c r="A23" s="24" t="s">
        <v>323</v>
      </c>
      <c r="B23" s="24" t="s">
        <v>103</v>
      </c>
      <c r="C23" s="28" t="s">
        <v>343</v>
      </c>
      <c r="D23" s="28" t="s">
        <v>335</v>
      </c>
      <c r="H23">
        <v>22</v>
      </c>
      <c r="I23" s="24" t="s">
        <v>390</v>
      </c>
      <c r="J23" s="28" t="s">
        <v>335</v>
      </c>
      <c r="K23" t="s">
        <v>107</v>
      </c>
    </row>
    <row r="24" spans="1:11" ht="16" x14ac:dyDescent="0.2">
      <c r="A24" s="24" t="s">
        <v>323</v>
      </c>
      <c r="B24" s="24" t="s">
        <v>103</v>
      </c>
      <c r="C24" s="28" t="s">
        <v>344</v>
      </c>
      <c r="D24" s="28" t="s">
        <v>335</v>
      </c>
      <c r="H24">
        <v>23</v>
      </c>
      <c r="I24" s="24" t="s">
        <v>391</v>
      </c>
      <c r="J24" s="28" t="s">
        <v>335</v>
      </c>
      <c r="K24" t="s">
        <v>107</v>
      </c>
    </row>
    <row r="25" spans="1:11" ht="16" x14ac:dyDescent="0.2">
      <c r="A25" s="24" t="s">
        <v>323</v>
      </c>
      <c r="B25" s="24" t="s">
        <v>103</v>
      </c>
      <c r="C25" s="28" t="s">
        <v>345</v>
      </c>
      <c r="D25" s="28" t="s">
        <v>25</v>
      </c>
      <c r="H25">
        <v>24</v>
      </c>
      <c r="I25" s="24" t="s">
        <v>392</v>
      </c>
      <c r="J25" s="28" t="s">
        <v>25</v>
      </c>
      <c r="K25" t="s">
        <v>107</v>
      </c>
    </row>
    <row r="26" spans="1:11" ht="16" x14ac:dyDescent="0.2">
      <c r="A26" s="24" t="s">
        <v>323</v>
      </c>
      <c r="B26" s="24" t="s">
        <v>103</v>
      </c>
      <c r="C26" s="28" t="s">
        <v>346</v>
      </c>
      <c r="D26" s="28" t="s">
        <v>25</v>
      </c>
      <c r="H26">
        <v>25</v>
      </c>
      <c r="I26" s="24" t="s">
        <v>393</v>
      </c>
      <c r="J26" s="28" t="s">
        <v>25</v>
      </c>
      <c r="K26" t="s">
        <v>107</v>
      </c>
    </row>
    <row r="27" spans="1:11" ht="16" x14ac:dyDescent="0.2">
      <c r="A27" s="24" t="s">
        <v>323</v>
      </c>
      <c r="B27" s="24" t="s">
        <v>103</v>
      </c>
      <c r="C27" s="28" t="s">
        <v>347</v>
      </c>
      <c r="D27" s="28" t="s">
        <v>335</v>
      </c>
      <c r="H27">
        <v>26</v>
      </c>
      <c r="I27" s="24" t="s">
        <v>394</v>
      </c>
      <c r="J27" s="28" t="s">
        <v>335</v>
      </c>
      <c r="K27" t="s">
        <v>107</v>
      </c>
    </row>
    <row r="28" spans="1:11" ht="16" x14ac:dyDescent="0.2">
      <c r="A28" s="24" t="s">
        <v>323</v>
      </c>
      <c r="B28" s="24" t="s">
        <v>103</v>
      </c>
      <c r="C28" s="28" t="s">
        <v>348</v>
      </c>
      <c r="D28" s="28" t="s">
        <v>335</v>
      </c>
      <c r="H28">
        <v>27</v>
      </c>
      <c r="I28" s="24" t="s">
        <v>395</v>
      </c>
      <c r="J28" s="28" t="s">
        <v>335</v>
      </c>
      <c r="K28" t="s">
        <v>107</v>
      </c>
    </row>
    <row r="29" spans="1:11" ht="16" x14ac:dyDescent="0.2">
      <c r="A29" s="24" t="s">
        <v>323</v>
      </c>
      <c r="B29" s="24" t="s">
        <v>103</v>
      </c>
      <c r="C29" s="28" t="s">
        <v>349</v>
      </c>
      <c r="D29" s="28" t="s">
        <v>335</v>
      </c>
      <c r="H29">
        <v>28</v>
      </c>
      <c r="I29" s="24" t="s">
        <v>396</v>
      </c>
      <c r="J29" s="28" t="s">
        <v>335</v>
      </c>
      <c r="K29" t="s">
        <v>107</v>
      </c>
    </row>
    <row r="30" spans="1:11" ht="16" x14ac:dyDescent="0.2">
      <c r="A30" s="24" t="s">
        <v>323</v>
      </c>
      <c r="B30" s="24" t="s">
        <v>103</v>
      </c>
      <c r="C30" s="28" t="s">
        <v>350</v>
      </c>
      <c r="D30" s="28" t="s">
        <v>335</v>
      </c>
      <c r="H30">
        <v>29</v>
      </c>
      <c r="I30" s="24" t="s">
        <v>397</v>
      </c>
      <c r="J30" s="28" t="s">
        <v>335</v>
      </c>
      <c r="K30" t="s">
        <v>107</v>
      </c>
    </row>
    <row r="31" spans="1:11" ht="16" x14ac:dyDescent="0.2">
      <c r="A31" s="24" t="s">
        <v>323</v>
      </c>
      <c r="B31" s="24" t="s">
        <v>103</v>
      </c>
      <c r="C31" s="28" t="s">
        <v>351</v>
      </c>
      <c r="D31" s="28" t="s">
        <v>335</v>
      </c>
      <c r="H31">
        <v>30</v>
      </c>
      <c r="I31" s="24" t="s">
        <v>398</v>
      </c>
      <c r="J31" s="28" t="s">
        <v>335</v>
      </c>
      <c r="K31" t="s">
        <v>107</v>
      </c>
    </row>
    <row r="32" spans="1:11" ht="16" x14ac:dyDescent="0.2">
      <c r="A32" s="24" t="s">
        <v>323</v>
      </c>
      <c r="B32" s="24" t="s">
        <v>103</v>
      </c>
      <c r="C32" s="28" t="s">
        <v>352</v>
      </c>
      <c r="D32" s="28" t="s">
        <v>335</v>
      </c>
      <c r="H32">
        <v>31</v>
      </c>
      <c r="I32" s="24" t="s">
        <v>399</v>
      </c>
      <c r="J32" s="28" t="s">
        <v>335</v>
      </c>
      <c r="K32" t="s">
        <v>107</v>
      </c>
    </row>
    <row r="33" spans="1:11" ht="16" x14ac:dyDescent="0.2">
      <c r="A33" s="24" t="s">
        <v>323</v>
      </c>
      <c r="B33" s="24" t="s">
        <v>103</v>
      </c>
      <c r="C33" s="28" t="s">
        <v>353</v>
      </c>
      <c r="D33" s="28" t="s">
        <v>25</v>
      </c>
      <c r="H33">
        <v>32</v>
      </c>
      <c r="I33" s="24" t="s">
        <v>400</v>
      </c>
      <c r="J33" s="28" t="s">
        <v>25</v>
      </c>
      <c r="K33" t="s">
        <v>107</v>
      </c>
    </row>
    <row r="34" spans="1:11" ht="16" x14ac:dyDescent="0.2">
      <c r="A34" s="24" t="s">
        <v>323</v>
      </c>
      <c r="B34" s="24" t="s">
        <v>103</v>
      </c>
      <c r="C34" s="28" t="s">
        <v>354</v>
      </c>
      <c r="D34" s="28" t="s">
        <v>25</v>
      </c>
      <c r="H34">
        <v>33</v>
      </c>
      <c r="I34" s="24" t="s">
        <v>401</v>
      </c>
      <c r="J34" s="28" t="s">
        <v>25</v>
      </c>
      <c r="K34" t="s">
        <v>107</v>
      </c>
    </row>
    <row r="35" spans="1:11" ht="16" x14ac:dyDescent="0.2">
      <c r="A35" s="24" t="s">
        <v>323</v>
      </c>
      <c r="B35" s="24" t="s">
        <v>103</v>
      </c>
      <c r="C35" s="28" t="s">
        <v>355</v>
      </c>
      <c r="D35" s="28" t="s">
        <v>25</v>
      </c>
      <c r="H35">
        <v>34</v>
      </c>
      <c r="I35" s="24" t="s">
        <v>402</v>
      </c>
      <c r="J35" s="28" t="s">
        <v>25</v>
      </c>
      <c r="K35" t="s">
        <v>107</v>
      </c>
    </row>
    <row r="36" spans="1:11" ht="16" x14ac:dyDescent="0.2">
      <c r="A36" s="24" t="s">
        <v>323</v>
      </c>
      <c r="B36" s="24" t="s">
        <v>103</v>
      </c>
      <c r="C36" s="28" t="s">
        <v>356</v>
      </c>
      <c r="D36" s="28" t="s">
        <v>25</v>
      </c>
      <c r="H36">
        <v>35</v>
      </c>
      <c r="I36" s="24" t="s">
        <v>403</v>
      </c>
      <c r="J36" s="28" t="s">
        <v>25</v>
      </c>
      <c r="K36" t="s">
        <v>107</v>
      </c>
    </row>
    <row r="37" spans="1:11" ht="16" x14ac:dyDescent="0.2">
      <c r="A37" s="24" t="s">
        <v>323</v>
      </c>
      <c r="B37" s="24" t="s">
        <v>103</v>
      </c>
      <c r="C37" s="28" t="s">
        <v>357</v>
      </c>
      <c r="D37" s="28" t="s">
        <v>25</v>
      </c>
      <c r="H37">
        <v>36</v>
      </c>
      <c r="I37" s="24" t="s">
        <v>404</v>
      </c>
      <c r="J37" s="28" t="s">
        <v>25</v>
      </c>
      <c r="K37" t="s">
        <v>107</v>
      </c>
    </row>
    <row r="38" spans="1:11" ht="16" x14ac:dyDescent="0.2">
      <c r="A38" s="24" t="s">
        <v>323</v>
      </c>
      <c r="B38" s="24" t="s">
        <v>103</v>
      </c>
      <c r="C38" s="28" t="s">
        <v>358</v>
      </c>
      <c r="D38" s="28" t="s">
        <v>25</v>
      </c>
      <c r="H38">
        <v>37</v>
      </c>
      <c r="I38" s="24" t="s">
        <v>405</v>
      </c>
      <c r="J38" s="28" t="s">
        <v>25</v>
      </c>
      <c r="K38" t="s">
        <v>107</v>
      </c>
    </row>
    <row r="39" spans="1:11" ht="16" x14ac:dyDescent="0.2">
      <c r="A39" s="24" t="s">
        <v>323</v>
      </c>
      <c r="B39" s="24" t="s">
        <v>103</v>
      </c>
      <c r="C39" s="28" t="s">
        <v>359</v>
      </c>
      <c r="D39" s="28" t="s">
        <v>25</v>
      </c>
      <c r="H39">
        <v>38</v>
      </c>
      <c r="I39" s="24" t="s">
        <v>406</v>
      </c>
      <c r="J39" s="28" t="s">
        <v>25</v>
      </c>
      <c r="K39" t="s">
        <v>107</v>
      </c>
    </row>
    <row r="40" spans="1:11" ht="16" x14ac:dyDescent="0.2">
      <c r="A40" s="24" t="s">
        <v>323</v>
      </c>
      <c r="B40" s="24" t="s">
        <v>103</v>
      </c>
      <c r="C40" s="28" t="s">
        <v>360</v>
      </c>
      <c r="D40" s="28" t="s">
        <v>25</v>
      </c>
      <c r="H40">
        <v>39</v>
      </c>
      <c r="I40" s="24" t="s">
        <v>360</v>
      </c>
      <c r="J40" s="28" t="s">
        <v>25</v>
      </c>
      <c r="K40" t="s">
        <v>107</v>
      </c>
    </row>
    <row r="41" spans="1:11" ht="16" x14ac:dyDescent="0.2">
      <c r="A41" s="24" t="s">
        <v>323</v>
      </c>
      <c r="B41" s="24" t="s">
        <v>103</v>
      </c>
      <c r="C41" s="28" t="s">
        <v>361</v>
      </c>
      <c r="D41" s="28" t="s">
        <v>25</v>
      </c>
      <c r="H41">
        <v>40</v>
      </c>
      <c r="I41" s="24" t="s">
        <v>361</v>
      </c>
      <c r="J41" s="28" t="s">
        <v>25</v>
      </c>
      <c r="K41" t="s">
        <v>107</v>
      </c>
    </row>
    <row r="42" spans="1:11" ht="16" x14ac:dyDescent="0.2">
      <c r="A42" s="24" t="s">
        <v>323</v>
      </c>
      <c r="B42" s="24" t="s">
        <v>103</v>
      </c>
      <c r="C42" s="28" t="s">
        <v>362</v>
      </c>
      <c r="D42" s="28" t="s">
        <v>25</v>
      </c>
      <c r="H42">
        <v>41</v>
      </c>
      <c r="I42" s="24" t="s">
        <v>362</v>
      </c>
      <c r="J42" s="28" t="s">
        <v>25</v>
      </c>
      <c r="K42" t="s">
        <v>107</v>
      </c>
    </row>
    <row r="43" spans="1:11" ht="16" x14ac:dyDescent="0.2">
      <c r="A43" s="24" t="s">
        <v>323</v>
      </c>
      <c r="B43" s="24" t="s">
        <v>103</v>
      </c>
      <c r="C43" s="28" t="s">
        <v>363</v>
      </c>
      <c r="D43" s="28" t="s">
        <v>25</v>
      </c>
      <c r="H43">
        <v>42</v>
      </c>
      <c r="I43" s="24" t="s">
        <v>363</v>
      </c>
      <c r="J43" s="28" t="s">
        <v>25</v>
      </c>
      <c r="K43" t="s">
        <v>107</v>
      </c>
    </row>
    <row r="44" spans="1:11" ht="16" x14ac:dyDescent="0.2">
      <c r="A44" s="24" t="s">
        <v>323</v>
      </c>
      <c r="B44" s="24" t="s">
        <v>103</v>
      </c>
      <c r="C44" s="28" t="s">
        <v>364</v>
      </c>
      <c r="D44" s="28" t="s">
        <v>25</v>
      </c>
      <c r="H44">
        <v>43</v>
      </c>
      <c r="I44" s="24" t="s">
        <v>364</v>
      </c>
      <c r="J44" s="28" t="s">
        <v>25</v>
      </c>
      <c r="K44" t="s">
        <v>107</v>
      </c>
    </row>
    <row r="45" spans="1:11" ht="16" x14ac:dyDescent="0.2">
      <c r="A45" s="24" t="s">
        <v>323</v>
      </c>
      <c r="B45" s="24" t="s">
        <v>103</v>
      </c>
      <c r="C45" s="28" t="s">
        <v>365</v>
      </c>
      <c r="D45" s="28" t="s">
        <v>25</v>
      </c>
      <c r="H45">
        <v>44</v>
      </c>
      <c r="I45" s="24" t="s">
        <v>365</v>
      </c>
      <c r="J45" s="28" t="s">
        <v>25</v>
      </c>
      <c r="K45" t="s">
        <v>107</v>
      </c>
    </row>
    <row r="46" spans="1:11" ht="16" x14ac:dyDescent="0.2">
      <c r="A46" s="24" t="s">
        <v>323</v>
      </c>
      <c r="B46" s="24" t="s">
        <v>103</v>
      </c>
      <c r="C46" s="28" t="s">
        <v>366</v>
      </c>
      <c r="D46" s="28" t="s">
        <v>25</v>
      </c>
      <c r="H46">
        <v>45</v>
      </c>
      <c r="I46" s="24" t="s">
        <v>366</v>
      </c>
      <c r="J46" s="28" t="s">
        <v>25</v>
      </c>
      <c r="K46" t="s">
        <v>107</v>
      </c>
    </row>
    <row r="47" spans="1:11" ht="16" x14ac:dyDescent="0.2">
      <c r="A47" s="24" t="s">
        <v>323</v>
      </c>
      <c r="B47" s="24" t="s">
        <v>103</v>
      </c>
      <c r="C47" s="28" t="s">
        <v>367</v>
      </c>
      <c r="D47" s="28" t="s">
        <v>25</v>
      </c>
      <c r="H47">
        <v>46</v>
      </c>
      <c r="I47" s="24" t="s">
        <v>367</v>
      </c>
      <c r="J47" s="28" t="s">
        <v>25</v>
      </c>
      <c r="K47" t="s">
        <v>107</v>
      </c>
    </row>
    <row r="48" spans="1:11" ht="16" x14ac:dyDescent="0.2">
      <c r="A48" s="24" t="s">
        <v>323</v>
      </c>
      <c r="B48" s="24" t="s">
        <v>103</v>
      </c>
      <c r="C48" s="28" t="s">
        <v>368</v>
      </c>
      <c r="D48" s="28" t="s">
        <v>25</v>
      </c>
      <c r="H48">
        <v>47</v>
      </c>
      <c r="I48" s="24" t="s">
        <v>368</v>
      </c>
      <c r="J48" s="28" t="s">
        <v>25</v>
      </c>
      <c r="K48" t="s">
        <v>107</v>
      </c>
    </row>
    <row r="49" spans="1:21" ht="16" x14ac:dyDescent="0.2">
      <c r="A49" s="24" t="s">
        <v>323</v>
      </c>
      <c r="B49" s="24" t="s">
        <v>103</v>
      </c>
      <c r="C49" s="24" t="s">
        <v>23</v>
      </c>
      <c r="F49" s="17" t="s">
        <v>372</v>
      </c>
      <c r="H49">
        <v>51</v>
      </c>
      <c r="I49" s="24" t="s">
        <v>31</v>
      </c>
      <c r="J49" t="s">
        <v>25</v>
      </c>
      <c r="K49" t="s">
        <v>107</v>
      </c>
    </row>
    <row r="50" spans="1:21" ht="16" x14ac:dyDescent="0.2">
      <c r="A50" s="24" t="s">
        <v>323</v>
      </c>
      <c r="B50" s="24" t="s">
        <v>103</v>
      </c>
      <c r="C50" s="24" t="s">
        <v>23</v>
      </c>
      <c r="F50" s="17" t="s">
        <v>373</v>
      </c>
      <c r="H50">
        <v>52</v>
      </c>
      <c r="I50" s="24" t="s">
        <v>207</v>
      </c>
      <c r="J50" t="s">
        <v>25</v>
      </c>
      <c r="K50" t="s">
        <v>107</v>
      </c>
    </row>
    <row r="51" spans="1:21" ht="16" x14ac:dyDescent="0.2">
      <c r="A51" s="24" t="s">
        <v>323</v>
      </c>
      <c r="B51" s="24" t="s">
        <v>103</v>
      </c>
      <c r="C51" s="24" t="s">
        <v>23</v>
      </c>
      <c r="F51" t="s">
        <v>295</v>
      </c>
      <c r="H51">
        <v>53</v>
      </c>
      <c r="I51" s="24" t="s">
        <v>209</v>
      </c>
      <c r="J51" t="s">
        <v>25</v>
      </c>
      <c r="K51" t="s">
        <v>107</v>
      </c>
    </row>
    <row r="52" spans="1:21" ht="16" x14ac:dyDescent="0.2">
      <c r="A52" s="24" t="s">
        <v>323</v>
      </c>
      <c r="B52" s="24" t="s">
        <v>103</v>
      </c>
      <c r="C52" s="24" t="s">
        <v>23</v>
      </c>
      <c r="F52" t="s">
        <v>413</v>
      </c>
      <c r="H52">
        <v>54</v>
      </c>
      <c r="I52" s="24" t="s">
        <v>105</v>
      </c>
      <c r="J52" t="s">
        <v>25</v>
      </c>
      <c r="K52" t="s">
        <v>107</v>
      </c>
    </row>
    <row r="53" spans="1:21" ht="16" x14ac:dyDescent="0.2">
      <c r="A53" s="24" t="s">
        <v>323</v>
      </c>
      <c r="B53" s="24" t="s">
        <v>103</v>
      </c>
      <c r="C53" s="24" t="s">
        <v>23</v>
      </c>
      <c r="F53" t="s">
        <v>414</v>
      </c>
      <c r="H53">
        <v>55</v>
      </c>
      <c r="I53" s="24" t="s">
        <v>410</v>
      </c>
      <c r="J53" t="s">
        <v>25</v>
      </c>
      <c r="K53" t="s">
        <v>107</v>
      </c>
    </row>
    <row r="54" spans="1:21" ht="16" x14ac:dyDescent="0.2">
      <c r="A54" s="24" t="s">
        <v>323</v>
      </c>
      <c r="B54" s="24" t="s">
        <v>103</v>
      </c>
      <c r="C54" s="24" t="s">
        <v>23</v>
      </c>
      <c r="F54" t="s">
        <v>415</v>
      </c>
      <c r="H54">
        <v>56</v>
      </c>
      <c r="I54" s="24" t="s">
        <v>411</v>
      </c>
      <c r="J54" t="s">
        <v>25</v>
      </c>
      <c r="K54" t="s">
        <v>107</v>
      </c>
    </row>
    <row r="55" spans="1:21" ht="16" x14ac:dyDescent="0.2">
      <c r="A55" s="24" t="s">
        <v>323</v>
      </c>
      <c r="B55" s="24" t="s">
        <v>103</v>
      </c>
      <c r="C55" s="24" t="s">
        <v>23</v>
      </c>
      <c r="F55" t="s">
        <v>416</v>
      </c>
      <c r="H55">
        <v>57</v>
      </c>
      <c r="I55" s="24" t="s">
        <v>412</v>
      </c>
      <c r="J55" t="s">
        <v>25</v>
      </c>
      <c r="K55" t="s">
        <v>107</v>
      </c>
    </row>
    <row r="56" spans="1:21" ht="16" x14ac:dyDescent="0.2">
      <c r="A56" s="24" t="s">
        <v>323</v>
      </c>
      <c r="C56" s="24" t="s">
        <v>23</v>
      </c>
      <c r="H56">
        <v>58</v>
      </c>
      <c r="I56" s="62" t="s">
        <v>106</v>
      </c>
      <c r="J56" s="63" t="s">
        <v>25</v>
      </c>
    </row>
    <row r="57" spans="1:21" ht="64" x14ac:dyDescent="0.2">
      <c r="A57" s="24" t="s">
        <v>323</v>
      </c>
      <c r="B57" s="31"/>
      <c r="C57" s="24" t="s">
        <v>23</v>
      </c>
      <c r="G57" s="50" t="s">
        <v>522</v>
      </c>
      <c r="H57">
        <v>59</v>
      </c>
      <c r="I57" s="28" t="s">
        <v>516</v>
      </c>
      <c r="J57" t="s">
        <v>25</v>
      </c>
    </row>
    <row r="58" spans="1:21" ht="80" x14ac:dyDescent="0.2">
      <c r="A58" s="24" t="s">
        <v>323</v>
      </c>
      <c r="B58" s="31"/>
      <c r="C58" s="24" t="s">
        <v>23</v>
      </c>
      <c r="G58" s="50" t="s">
        <v>523</v>
      </c>
      <c r="H58">
        <v>60</v>
      </c>
      <c r="I58" s="28" t="s">
        <v>517</v>
      </c>
      <c r="J58" t="s">
        <v>97</v>
      </c>
    </row>
    <row r="59" spans="1:21" ht="64" x14ac:dyDescent="0.2">
      <c r="A59" s="24" t="s">
        <v>323</v>
      </c>
      <c r="B59" s="31"/>
      <c r="C59" s="24" t="s">
        <v>23</v>
      </c>
      <c r="G59" s="50" t="s">
        <v>520</v>
      </c>
      <c r="H59">
        <v>61</v>
      </c>
      <c r="I59" s="28" t="s">
        <v>518</v>
      </c>
      <c r="J59" t="s">
        <v>97</v>
      </c>
    </row>
    <row r="60" spans="1:21" ht="64" x14ac:dyDescent="0.2">
      <c r="A60" s="24" t="s">
        <v>323</v>
      </c>
      <c r="C60" s="24" t="s">
        <v>23</v>
      </c>
      <c r="G60" s="50" t="s">
        <v>521</v>
      </c>
      <c r="H60">
        <v>62</v>
      </c>
      <c r="I60" s="28" t="s">
        <v>519</v>
      </c>
      <c r="J60" t="s">
        <v>97</v>
      </c>
    </row>
    <row r="61" spans="1:21" x14ac:dyDescent="0.2">
      <c r="A61" s="34"/>
      <c r="B61" s="34"/>
      <c r="C61" s="34"/>
      <c r="D61" s="34"/>
      <c r="E61" s="35"/>
      <c r="F61" s="34"/>
      <c r="G61" s="34" t="s">
        <v>213</v>
      </c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6"/>
      <c r="S61" s="34"/>
      <c r="T61" s="34"/>
      <c r="U61" s="34"/>
    </row>
    <row r="62" spans="1:21" ht="208" x14ac:dyDescent="0.2">
      <c r="A62" s="37" t="s">
        <v>325</v>
      </c>
      <c r="B62" s="48" t="s">
        <v>8</v>
      </c>
      <c r="C62" s="29" t="s">
        <v>23</v>
      </c>
      <c r="D62" s="3"/>
      <c r="E62" s="3"/>
      <c r="F62" s="3" t="s">
        <v>330</v>
      </c>
      <c r="G62" s="3"/>
      <c r="H62" s="3">
        <v>1</v>
      </c>
      <c r="I62" s="3" t="s">
        <v>208</v>
      </c>
      <c r="J62" s="3" t="s">
        <v>195</v>
      </c>
      <c r="K62" s="3"/>
      <c r="L62" s="3"/>
      <c r="M62" s="4"/>
      <c r="N62" s="3"/>
      <c r="O62" s="3" t="s">
        <v>542</v>
      </c>
      <c r="P62" s="4" t="s">
        <v>545</v>
      </c>
      <c r="Q62" s="4" t="s">
        <v>544</v>
      </c>
      <c r="R62" s="3"/>
      <c r="S62" s="3"/>
    </row>
    <row r="63" spans="1:21" ht="16" x14ac:dyDescent="0.2">
      <c r="A63" s="37" t="s">
        <v>325</v>
      </c>
      <c r="B63" s="48" t="s">
        <v>8</v>
      </c>
      <c r="C63" s="30" t="s">
        <v>23</v>
      </c>
      <c r="D63" s="2"/>
      <c r="E63" s="2"/>
      <c r="F63" s="30" t="s">
        <v>331</v>
      </c>
      <c r="G63" s="2"/>
      <c r="H63" s="2">
        <v>2</v>
      </c>
      <c r="I63" s="2" t="s">
        <v>24</v>
      </c>
      <c r="J63" s="2" t="s">
        <v>25</v>
      </c>
      <c r="K63" s="2"/>
      <c r="L63" s="2"/>
      <c r="M63" s="2"/>
      <c r="N63" s="2"/>
      <c r="O63" s="3" t="s">
        <v>542</v>
      </c>
      <c r="P63" s="2"/>
      <c r="Q63" s="2" t="s">
        <v>536</v>
      </c>
      <c r="R63" s="2"/>
      <c r="S63" s="2"/>
    </row>
    <row r="64" spans="1:21" ht="176" x14ac:dyDescent="0.2">
      <c r="A64" s="37" t="s">
        <v>325</v>
      </c>
      <c r="B64" s="48" t="s">
        <v>8</v>
      </c>
      <c r="C64" s="29" t="s">
        <v>23</v>
      </c>
      <c r="D64" s="3"/>
      <c r="E64" s="3"/>
      <c r="F64" s="4" t="s">
        <v>473</v>
      </c>
      <c r="G64" s="3"/>
      <c r="H64" s="3">
        <v>3</v>
      </c>
      <c r="I64" s="3" t="s">
        <v>407</v>
      </c>
      <c r="J64" s="3" t="s">
        <v>25</v>
      </c>
      <c r="K64" s="3"/>
      <c r="L64" s="3"/>
      <c r="M64" s="3"/>
      <c r="N64" s="3"/>
      <c r="O64" s="3" t="s">
        <v>542</v>
      </c>
      <c r="P64" s="3"/>
      <c r="Q64" s="3"/>
      <c r="R64" s="3"/>
      <c r="S64" s="3"/>
    </row>
    <row r="65" spans="1:19" ht="96" x14ac:dyDescent="0.2">
      <c r="A65" s="37" t="s">
        <v>325</v>
      </c>
      <c r="B65" s="48" t="s">
        <v>8</v>
      </c>
      <c r="C65" s="30" t="s">
        <v>23</v>
      </c>
      <c r="D65" s="2"/>
      <c r="E65" s="2"/>
      <c r="F65" s="5" t="s">
        <v>532</v>
      </c>
      <c r="G65" s="2"/>
      <c r="H65" s="2">
        <v>4</v>
      </c>
      <c r="I65" s="2" t="s">
        <v>408</v>
      </c>
      <c r="J65" s="2" t="s">
        <v>25</v>
      </c>
      <c r="K65" s="2"/>
      <c r="L65" s="2"/>
      <c r="M65" s="2"/>
      <c r="N65" s="2"/>
      <c r="O65" s="3" t="s">
        <v>542</v>
      </c>
      <c r="P65" s="2"/>
      <c r="Q65" s="2"/>
      <c r="R65" s="2"/>
      <c r="S65" s="2"/>
    </row>
    <row r="66" spans="1:19" ht="256" x14ac:dyDescent="0.2">
      <c r="A66" s="37" t="s">
        <v>325</v>
      </c>
      <c r="B66" s="48" t="s">
        <v>8</v>
      </c>
      <c r="C66" s="29" t="s">
        <v>23</v>
      </c>
      <c r="D66" s="3"/>
      <c r="E66" s="3"/>
      <c r="F66" s="4" t="s">
        <v>533</v>
      </c>
      <c r="G66" s="3"/>
      <c r="H66" s="3">
        <v>5</v>
      </c>
      <c r="I66" s="3" t="s">
        <v>409</v>
      </c>
      <c r="J66" s="3" t="s">
        <v>25</v>
      </c>
      <c r="K66" s="3"/>
      <c r="L66" s="3"/>
      <c r="M66" s="3"/>
      <c r="N66" s="3"/>
      <c r="O66" s="3" t="s">
        <v>542</v>
      </c>
      <c r="P66" s="3"/>
      <c r="Q66" s="3"/>
      <c r="R66" s="3"/>
      <c r="S66" s="3"/>
    </row>
    <row r="67" spans="1:19" ht="16" x14ac:dyDescent="0.2">
      <c r="A67" s="37" t="s">
        <v>325</v>
      </c>
      <c r="B67" s="48" t="s">
        <v>8</v>
      </c>
      <c r="C67" s="30" t="s">
        <v>328</v>
      </c>
      <c r="D67" s="30" t="s">
        <v>25</v>
      </c>
      <c r="E67" s="2"/>
      <c r="F67" s="2"/>
      <c r="G67" s="2"/>
      <c r="H67" s="2">
        <v>6</v>
      </c>
      <c r="I67" s="32" t="s">
        <v>374</v>
      </c>
      <c r="J67" s="30" t="s">
        <v>25</v>
      </c>
      <c r="K67" s="3" t="s">
        <v>107</v>
      </c>
      <c r="L67" s="2"/>
      <c r="M67" s="2"/>
      <c r="N67" s="2"/>
      <c r="O67" s="2" t="s">
        <v>547</v>
      </c>
      <c r="P67" s="2"/>
      <c r="Q67" s="2"/>
      <c r="R67" s="2"/>
      <c r="S67" s="2"/>
    </row>
    <row r="68" spans="1:19" ht="16" x14ac:dyDescent="0.2">
      <c r="A68" s="37" t="s">
        <v>325</v>
      </c>
      <c r="B68" s="48" t="s">
        <v>8</v>
      </c>
      <c r="C68" s="29" t="s">
        <v>329</v>
      </c>
      <c r="D68" s="29" t="s">
        <v>25</v>
      </c>
      <c r="E68" s="3"/>
      <c r="F68" s="3"/>
      <c r="G68" s="3"/>
      <c r="H68" s="3">
        <v>7</v>
      </c>
      <c r="I68" s="31" t="s">
        <v>375</v>
      </c>
      <c r="J68" s="29" t="s">
        <v>25</v>
      </c>
      <c r="K68" s="3" t="s">
        <v>107</v>
      </c>
      <c r="L68" s="3"/>
      <c r="M68" s="3"/>
      <c r="N68" s="3"/>
      <c r="O68" s="3"/>
      <c r="P68" s="3"/>
      <c r="Q68" s="3"/>
      <c r="R68" s="3"/>
      <c r="S68" s="3"/>
    </row>
    <row r="69" spans="1:19" ht="16" x14ac:dyDescent="0.2">
      <c r="A69" s="37" t="s">
        <v>325</v>
      </c>
      <c r="B69" s="48" t="s">
        <v>8</v>
      </c>
      <c r="C69" s="30" t="s">
        <v>23</v>
      </c>
      <c r="D69" s="30"/>
      <c r="E69" s="2"/>
      <c r="F69" s="2" t="s">
        <v>369</v>
      </c>
      <c r="G69" s="2"/>
      <c r="H69" s="2">
        <v>8</v>
      </c>
      <c r="I69" s="32" t="s">
        <v>376</v>
      </c>
      <c r="J69" s="30" t="s">
        <v>28</v>
      </c>
      <c r="K69" s="3" t="s">
        <v>107</v>
      </c>
      <c r="L69" s="2"/>
      <c r="M69" s="2"/>
      <c r="N69" s="2"/>
      <c r="O69" s="2"/>
      <c r="P69" s="2"/>
      <c r="Q69" s="2"/>
      <c r="R69" s="2"/>
      <c r="S69" s="2"/>
    </row>
    <row r="70" spans="1:19" ht="16" x14ac:dyDescent="0.2">
      <c r="A70" s="37" t="s">
        <v>325</v>
      </c>
      <c r="B70" s="48" t="s">
        <v>8</v>
      </c>
      <c r="C70" s="29" t="s">
        <v>23</v>
      </c>
      <c r="D70" s="29"/>
      <c r="E70" s="3"/>
      <c r="F70" s="3" t="s">
        <v>370</v>
      </c>
      <c r="G70" s="3"/>
      <c r="H70" s="3">
        <v>9</v>
      </c>
      <c r="I70" s="31" t="s">
        <v>377</v>
      </c>
      <c r="J70" s="29" t="s">
        <v>28</v>
      </c>
      <c r="K70" s="3" t="s">
        <v>107</v>
      </c>
      <c r="L70" s="3"/>
      <c r="M70" s="3"/>
      <c r="N70" s="3"/>
      <c r="O70" s="3"/>
      <c r="P70" s="3"/>
      <c r="Q70" s="3"/>
      <c r="R70" s="3"/>
      <c r="S70" s="3"/>
    </row>
    <row r="71" spans="1:19" ht="16" x14ac:dyDescent="0.2">
      <c r="A71" s="37" t="s">
        <v>325</v>
      </c>
      <c r="B71" s="48" t="s">
        <v>8</v>
      </c>
      <c r="C71" s="30" t="s">
        <v>23</v>
      </c>
      <c r="D71" s="30"/>
      <c r="E71" s="2"/>
      <c r="F71" s="2" t="s">
        <v>371</v>
      </c>
      <c r="G71" s="2"/>
      <c r="H71" s="2">
        <v>10</v>
      </c>
      <c r="I71" s="32" t="s">
        <v>378</v>
      </c>
      <c r="J71" s="30" t="s">
        <v>28</v>
      </c>
      <c r="K71" s="3" t="s">
        <v>107</v>
      </c>
      <c r="L71" s="2"/>
      <c r="M71" s="2"/>
      <c r="N71" s="2"/>
      <c r="O71" s="2"/>
      <c r="P71" s="2"/>
      <c r="Q71" s="2"/>
      <c r="R71" s="2"/>
      <c r="S71" s="2"/>
    </row>
    <row r="72" spans="1:19" ht="16" x14ac:dyDescent="0.2">
      <c r="A72" s="37" t="s">
        <v>325</v>
      </c>
      <c r="B72" s="48" t="s">
        <v>8</v>
      </c>
      <c r="C72" s="29" t="s">
        <v>330</v>
      </c>
      <c r="D72" s="29" t="s">
        <v>25</v>
      </c>
      <c r="E72" s="3"/>
      <c r="F72" s="3"/>
      <c r="G72" s="3"/>
      <c r="H72" s="3">
        <v>11</v>
      </c>
      <c r="I72" s="31" t="s">
        <v>379</v>
      </c>
      <c r="J72" s="29" t="s">
        <v>25</v>
      </c>
      <c r="K72" s="3" t="s">
        <v>107</v>
      </c>
      <c r="L72" s="3"/>
      <c r="M72" s="3"/>
      <c r="N72" s="3"/>
      <c r="O72" s="3"/>
      <c r="P72" s="3"/>
      <c r="Q72" s="3"/>
      <c r="R72" s="3"/>
      <c r="S72" s="3"/>
    </row>
    <row r="73" spans="1:19" ht="16" x14ac:dyDescent="0.2">
      <c r="A73" s="37" t="s">
        <v>325</v>
      </c>
      <c r="B73" s="48" t="s">
        <v>8</v>
      </c>
      <c r="C73" s="30" t="s">
        <v>331</v>
      </c>
      <c r="D73" s="30" t="s">
        <v>25</v>
      </c>
      <c r="E73" s="2"/>
      <c r="F73" s="2"/>
      <c r="G73" s="2"/>
      <c r="H73" s="2">
        <v>12</v>
      </c>
      <c r="I73" s="32" t="s">
        <v>380</v>
      </c>
      <c r="J73" s="30" t="s">
        <v>25</v>
      </c>
      <c r="K73" s="3" t="s">
        <v>107</v>
      </c>
      <c r="L73" s="2"/>
      <c r="M73" s="2"/>
      <c r="N73" s="2"/>
      <c r="O73" s="2"/>
      <c r="P73" s="2"/>
      <c r="Q73" s="2"/>
      <c r="R73" s="2"/>
      <c r="S73" s="2"/>
    </row>
    <row r="74" spans="1:19" ht="16" x14ac:dyDescent="0.2">
      <c r="A74" s="37" t="s">
        <v>325</v>
      </c>
      <c r="B74" s="48" t="s">
        <v>8</v>
      </c>
      <c r="C74" s="29" t="s">
        <v>332</v>
      </c>
      <c r="D74" s="29" t="s">
        <v>333</v>
      </c>
      <c r="E74" s="3"/>
      <c r="F74" s="3"/>
      <c r="G74" s="3"/>
      <c r="H74" s="3">
        <v>13</v>
      </c>
      <c r="I74" s="31" t="s">
        <v>381</v>
      </c>
      <c r="J74" s="29" t="s">
        <v>333</v>
      </c>
      <c r="K74" s="3" t="s">
        <v>107</v>
      </c>
      <c r="L74" s="3"/>
      <c r="M74" s="3"/>
      <c r="N74" s="3"/>
      <c r="O74" s="3"/>
      <c r="P74" s="3"/>
      <c r="Q74" s="3"/>
      <c r="R74" s="3"/>
      <c r="S74" s="3"/>
    </row>
    <row r="75" spans="1:19" ht="16" x14ac:dyDescent="0.2">
      <c r="A75" s="37" t="s">
        <v>325</v>
      </c>
      <c r="B75" s="48" t="s">
        <v>8</v>
      </c>
      <c r="C75" s="30" t="s">
        <v>334</v>
      </c>
      <c r="D75" s="30" t="s">
        <v>335</v>
      </c>
      <c r="E75" s="2"/>
      <c r="F75" s="2"/>
      <c r="G75" s="2"/>
      <c r="H75" s="2">
        <v>14</v>
      </c>
      <c r="I75" s="32" t="s">
        <v>382</v>
      </c>
      <c r="J75" s="30" t="s">
        <v>335</v>
      </c>
      <c r="K75" s="3" t="s">
        <v>107</v>
      </c>
      <c r="L75" s="2"/>
      <c r="M75" s="2"/>
      <c r="N75" s="2"/>
      <c r="O75" s="2"/>
      <c r="P75" s="2"/>
      <c r="Q75" s="2"/>
      <c r="R75" s="2"/>
      <c r="S75" s="2"/>
    </row>
    <row r="76" spans="1:19" ht="16" x14ac:dyDescent="0.2">
      <c r="A76" s="37" t="s">
        <v>325</v>
      </c>
      <c r="B76" s="48" t="s">
        <v>8</v>
      </c>
      <c r="C76" s="29" t="s">
        <v>336</v>
      </c>
      <c r="D76" s="29" t="s">
        <v>335</v>
      </c>
      <c r="E76" s="3"/>
      <c r="F76" s="3"/>
      <c r="G76" s="3"/>
      <c r="H76" s="3">
        <v>15</v>
      </c>
      <c r="I76" s="31" t="s">
        <v>383</v>
      </c>
      <c r="J76" s="29" t="s">
        <v>335</v>
      </c>
      <c r="K76" s="3" t="s">
        <v>107</v>
      </c>
      <c r="L76" s="3"/>
      <c r="M76" s="3"/>
      <c r="N76" s="3"/>
      <c r="O76" s="3"/>
      <c r="P76" s="3"/>
      <c r="Q76" s="3"/>
      <c r="R76" s="3"/>
      <c r="S76" s="3"/>
    </row>
    <row r="77" spans="1:19" ht="32" x14ac:dyDescent="0.2">
      <c r="A77" s="37" t="s">
        <v>325</v>
      </c>
      <c r="B77" s="48" t="s">
        <v>8</v>
      </c>
      <c r="C77" s="30" t="s">
        <v>337</v>
      </c>
      <c r="D77" s="30" t="s">
        <v>335</v>
      </c>
      <c r="E77" s="2"/>
      <c r="F77" s="2"/>
      <c r="G77" s="2"/>
      <c r="H77" s="2">
        <v>16</v>
      </c>
      <c r="I77" s="32" t="s">
        <v>384</v>
      </c>
      <c r="J77" s="30" t="s">
        <v>335</v>
      </c>
      <c r="K77" s="3" t="s">
        <v>107</v>
      </c>
      <c r="L77" s="2"/>
      <c r="M77" s="2"/>
      <c r="N77" s="2"/>
      <c r="O77" s="2"/>
      <c r="P77" s="2"/>
      <c r="Q77" s="2"/>
      <c r="R77" s="2"/>
      <c r="S77" s="2"/>
    </row>
    <row r="78" spans="1:19" ht="16" x14ac:dyDescent="0.2">
      <c r="A78" s="37" t="s">
        <v>325</v>
      </c>
      <c r="B78" s="48" t="s">
        <v>8</v>
      </c>
      <c r="C78" s="29" t="s">
        <v>338</v>
      </c>
      <c r="D78" s="29" t="s">
        <v>335</v>
      </c>
      <c r="E78" s="3"/>
      <c r="F78" s="3"/>
      <c r="G78" s="3"/>
      <c r="H78" s="3">
        <v>17</v>
      </c>
      <c r="I78" s="31" t="s">
        <v>385</v>
      </c>
      <c r="J78" s="29" t="s">
        <v>335</v>
      </c>
      <c r="K78" s="3" t="s">
        <v>107</v>
      </c>
      <c r="L78" s="3"/>
      <c r="M78" s="3"/>
      <c r="N78" s="3"/>
      <c r="O78" s="3"/>
      <c r="P78" s="3"/>
      <c r="Q78" s="3"/>
      <c r="R78" s="3"/>
      <c r="S78" s="3"/>
    </row>
    <row r="79" spans="1:19" ht="16" x14ac:dyDescent="0.2">
      <c r="A79" s="37" t="s">
        <v>325</v>
      </c>
      <c r="B79" s="48" t="s">
        <v>8</v>
      </c>
      <c r="C79" s="30" t="s">
        <v>339</v>
      </c>
      <c r="D79" s="30" t="s">
        <v>335</v>
      </c>
      <c r="E79" s="2"/>
      <c r="F79" s="2"/>
      <c r="G79" s="2"/>
      <c r="H79" s="2">
        <v>18</v>
      </c>
      <c r="I79" s="32" t="s">
        <v>386</v>
      </c>
      <c r="J79" s="30" t="s">
        <v>335</v>
      </c>
      <c r="K79" s="3" t="s">
        <v>107</v>
      </c>
      <c r="L79" s="2"/>
      <c r="M79" s="2"/>
      <c r="N79" s="2"/>
      <c r="O79" s="2"/>
      <c r="P79" s="2"/>
      <c r="Q79" s="2"/>
      <c r="R79" s="2"/>
      <c r="S79" s="2"/>
    </row>
    <row r="80" spans="1:19" ht="16" x14ac:dyDescent="0.2">
      <c r="A80" s="37" t="s">
        <v>325</v>
      </c>
      <c r="B80" s="48" t="s">
        <v>8</v>
      </c>
      <c r="C80" s="29" t="s">
        <v>340</v>
      </c>
      <c r="D80" s="29" t="s">
        <v>335</v>
      </c>
      <c r="E80" s="3"/>
      <c r="F80" s="3"/>
      <c r="G80" s="3"/>
      <c r="H80" s="3">
        <v>19</v>
      </c>
      <c r="I80" s="31" t="s">
        <v>387</v>
      </c>
      <c r="J80" s="29" t="s">
        <v>335</v>
      </c>
      <c r="K80" s="3" t="s">
        <v>107</v>
      </c>
      <c r="L80" s="3"/>
      <c r="M80" s="3"/>
      <c r="N80" s="3"/>
      <c r="O80" s="3"/>
      <c r="P80" s="3"/>
      <c r="Q80" s="3"/>
      <c r="R80" s="3"/>
      <c r="S80" s="3"/>
    </row>
    <row r="81" spans="1:19" ht="16" x14ac:dyDescent="0.2">
      <c r="A81" s="37" t="s">
        <v>325</v>
      </c>
      <c r="B81" s="48" t="s">
        <v>8</v>
      </c>
      <c r="C81" s="30" t="s">
        <v>341</v>
      </c>
      <c r="D81" s="30" t="s">
        <v>335</v>
      </c>
      <c r="E81" s="2"/>
      <c r="F81" s="2"/>
      <c r="G81" s="2"/>
      <c r="H81" s="2">
        <v>20</v>
      </c>
      <c r="I81" s="32" t="s">
        <v>388</v>
      </c>
      <c r="J81" s="30" t="s">
        <v>335</v>
      </c>
      <c r="K81" s="3" t="s">
        <v>107</v>
      </c>
      <c r="L81" s="2"/>
      <c r="M81" s="2"/>
      <c r="N81" s="2"/>
      <c r="O81" s="2"/>
      <c r="P81" s="2"/>
      <c r="Q81" s="2"/>
      <c r="R81" s="2"/>
      <c r="S81" s="2"/>
    </row>
    <row r="82" spans="1:19" ht="16" x14ac:dyDescent="0.2">
      <c r="A82" s="37" t="s">
        <v>325</v>
      </c>
      <c r="B82" s="48" t="s">
        <v>8</v>
      </c>
      <c r="C82" s="29" t="s">
        <v>342</v>
      </c>
      <c r="D82" s="29" t="s">
        <v>335</v>
      </c>
      <c r="E82" s="3"/>
      <c r="F82" s="3"/>
      <c r="G82" s="3"/>
      <c r="H82" s="3">
        <v>21</v>
      </c>
      <c r="I82" s="31" t="s">
        <v>389</v>
      </c>
      <c r="J82" s="29" t="s">
        <v>335</v>
      </c>
      <c r="K82" s="3" t="s">
        <v>107</v>
      </c>
      <c r="L82" s="3"/>
      <c r="M82" s="3"/>
      <c r="N82" s="3"/>
      <c r="O82" s="3"/>
      <c r="P82" s="3"/>
      <c r="Q82" s="3"/>
      <c r="R82" s="3"/>
      <c r="S82" s="3"/>
    </row>
    <row r="83" spans="1:19" ht="16" x14ac:dyDescent="0.2">
      <c r="A83" s="37" t="s">
        <v>325</v>
      </c>
      <c r="B83" s="48" t="s">
        <v>8</v>
      </c>
      <c r="C83" s="30" t="s">
        <v>343</v>
      </c>
      <c r="D83" s="30" t="s">
        <v>335</v>
      </c>
      <c r="E83" s="2"/>
      <c r="F83" s="2"/>
      <c r="G83" s="2"/>
      <c r="H83" s="2">
        <v>22</v>
      </c>
      <c r="I83" s="32" t="s">
        <v>390</v>
      </c>
      <c r="J83" s="30" t="s">
        <v>335</v>
      </c>
      <c r="K83" s="3" t="s">
        <v>107</v>
      </c>
      <c r="L83" s="2"/>
      <c r="M83" s="2"/>
      <c r="N83" s="2"/>
      <c r="O83" s="2"/>
      <c r="P83" s="2"/>
      <c r="Q83" s="2"/>
      <c r="R83" s="2"/>
      <c r="S83" s="2"/>
    </row>
    <row r="84" spans="1:19" ht="16" x14ac:dyDescent="0.2">
      <c r="A84" s="37" t="s">
        <v>325</v>
      </c>
      <c r="B84" s="48" t="s">
        <v>8</v>
      </c>
      <c r="C84" s="29" t="s">
        <v>344</v>
      </c>
      <c r="D84" s="29" t="s">
        <v>335</v>
      </c>
      <c r="E84" s="3"/>
      <c r="F84" s="3"/>
      <c r="G84" s="3"/>
      <c r="H84" s="3">
        <v>23</v>
      </c>
      <c r="I84" s="31" t="s">
        <v>391</v>
      </c>
      <c r="J84" s="29" t="s">
        <v>335</v>
      </c>
      <c r="K84" s="3" t="s">
        <v>107</v>
      </c>
      <c r="L84" s="3"/>
      <c r="M84" s="3"/>
      <c r="N84" s="3"/>
      <c r="O84" s="3"/>
      <c r="P84" s="3"/>
      <c r="Q84" s="3"/>
      <c r="R84" s="3"/>
      <c r="S84" s="3"/>
    </row>
    <row r="85" spans="1:19" ht="16" x14ac:dyDescent="0.2">
      <c r="A85" s="37" t="s">
        <v>325</v>
      </c>
      <c r="B85" s="48" t="s">
        <v>8</v>
      </c>
      <c r="C85" s="30" t="s">
        <v>345</v>
      </c>
      <c r="D85" s="30" t="s">
        <v>25</v>
      </c>
      <c r="E85" s="2"/>
      <c r="F85" s="2"/>
      <c r="G85" s="2"/>
      <c r="H85" s="2">
        <v>24</v>
      </c>
      <c r="I85" s="32" t="s">
        <v>392</v>
      </c>
      <c r="J85" s="30" t="s">
        <v>25</v>
      </c>
      <c r="K85" s="3" t="s">
        <v>107</v>
      </c>
      <c r="L85" s="2"/>
      <c r="M85" s="2"/>
      <c r="N85" s="2"/>
      <c r="O85" s="2"/>
      <c r="P85" s="2"/>
      <c r="Q85" s="2"/>
      <c r="R85" s="2"/>
      <c r="S85" s="2"/>
    </row>
    <row r="86" spans="1:19" ht="16" x14ac:dyDescent="0.2">
      <c r="A86" s="37" t="s">
        <v>325</v>
      </c>
      <c r="B86" s="48" t="s">
        <v>8</v>
      </c>
      <c r="C86" s="29" t="s">
        <v>346</v>
      </c>
      <c r="D86" s="29" t="s">
        <v>25</v>
      </c>
      <c r="E86" s="3"/>
      <c r="F86" s="3"/>
      <c r="G86" s="3"/>
      <c r="H86" s="3">
        <v>25</v>
      </c>
      <c r="I86" s="31" t="s">
        <v>393</v>
      </c>
      <c r="J86" s="29" t="s">
        <v>25</v>
      </c>
      <c r="K86" s="3" t="s">
        <v>107</v>
      </c>
      <c r="L86" s="3"/>
      <c r="M86" s="3"/>
      <c r="N86" s="3"/>
      <c r="O86" s="3"/>
      <c r="P86" s="3"/>
      <c r="Q86" s="3"/>
      <c r="R86" s="3"/>
      <c r="S86" s="3"/>
    </row>
    <row r="87" spans="1:19" ht="16" x14ac:dyDescent="0.2">
      <c r="A87" s="37" t="s">
        <v>325</v>
      </c>
      <c r="B87" s="48" t="s">
        <v>8</v>
      </c>
      <c r="C87" s="30" t="s">
        <v>347</v>
      </c>
      <c r="D87" s="30" t="s">
        <v>335</v>
      </c>
      <c r="E87" s="2"/>
      <c r="F87" s="2"/>
      <c r="G87" s="2"/>
      <c r="H87" s="2">
        <v>26</v>
      </c>
      <c r="I87" s="32" t="s">
        <v>394</v>
      </c>
      <c r="J87" s="30" t="s">
        <v>335</v>
      </c>
      <c r="K87" s="3" t="s">
        <v>107</v>
      </c>
      <c r="L87" s="2"/>
      <c r="M87" s="2"/>
      <c r="N87" s="2"/>
      <c r="O87" s="2"/>
      <c r="P87" s="2"/>
      <c r="Q87" s="2"/>
      <c r="R87" s="2"/>
      <c r="S87" s="2"/>
    </row>
    <row r="88" spans="1:19" ht="16" x14ac:dyDescent="0.2">
      <c r="A88" s="37" t="s">
        <v>325</v>
      </c>
      <c r="B88" s="48" t="s">
        <v>8</v>
      </c>
      <c r="C88" s="29" t="s">
        <v>348</v>
      </c>
      <c r="D88" s="29" t="s">
        <v>335</v>
      </c>
      <c r="E88" s="3"/>
      <c r="F88" s="3"/>
      <c r="G88" s="3"/>
      <c r="H88" s="3">
        <v>27</v>
      </c>
      <c r="I88" s="31" t="s">
        <v>395</v>
      </c>
      <c r="J88" s="29" t="s">
        <v>335</v>
      </c>
      <c r="K88" s="3" t="s">
        <v>107</v>
      </c>
      <c r="L88" s="3"/>
      <c r="M88" s="3"/>
      <c r="N88" s="3"/>
      <c r="O88" s="3"/>
      <c r="P88" s="3"/>
      <c r="Q88" s="3"/>
      <c r="R88" s="3"/>
      <c r="S88" s="3"/>
    </row>
    <row r="89" spans="1:19" ht="16" x14ac:dyDescent="0.2">
      <c r="A89" s="37" t="s">
        <v>325</v>
      </c>
      <c r="B89" s="48" t="s">
        <v>8</v>
      </c>
      <c r="C89" s="30" t="s">
        <v>349</v>
      </c>
      <c r="D89" s="30" t="s">
        <v>335</v>
      </c>
      <c r="E89" s="2"/>
      <c r="F89" s="2"/>
      <c r="G89" s="2"/>
      <c r="H89" s="2">
        <v>28</v>
      </c>
      <c r="I89" s="32" t="s">
        <v>396</v>
      </c>
      <c r="J89" s="30" t="s">
        <v>335</v>
      </c>
      <c r="K89" s="3" t="s">
        <v>107</v>
      </c>
      <c r="L89" s="2"/>
      <c r="M89" s="2"/>
      <c r="N89" s="2"/>
      <c r="O89" s="2"/>
      <c r="P89" s="2"/>
      <c r="Q89" s="2"/>
      <c r="R89" s="2"/>
      <c r="S89" s="2"/>
    </row>
    <row r="90" spans="1:19" ht="16" x14ac:dyDescent="0.2">
      <c r="A90" s="37" t="s">
        <v>325</v>
      </c>
      <c r="B90" s="48" t="s">
        <v>8</v>
      </c>
      <c r="C90" s="29" t="s">
        <v>350</v>
      </c>
      <c r="D90" s="29" t="s">
        <v>335</v>
      </c>
      <c r="E90" s="3"/>
      <c r="F90" s="3"/>
      <c r="G90" s="3"/>
      <c r="H90" s="3">
        <v>29</v>
      </c>
      <c r="I90" s="31" t="s">
        <v>397</v>
      </c>
      <c r="J90" s="29" t="s">
        <v>335</v>
      </c>
      <c r="K90" s="3" t="s">
        <v>107</v>
      </c>
      <c r="L90" s="3"/>
      <c r="M90" s="3"/>
      <c r="N90" s="3"/>
      <c r="O90" s="3"/>
      <c r="P90" s="3"/>
      <c r="Q90" s="3"/>
      <c r="R90" s="3"/>
      <c r="S90" s="3"/>
    </row>
    <row r="91" spans="1:19" ht="16" x14ac:dyDescent="0.2">
      <c r="A91" s="37" t="s">
        <v>325</v>
      </c>
      <c r="B91" s="48" t="s">
        <v>8</v>
      </c>
      <c r="C91" s="30" t="s">
        <v>351</v>
      </c>
      <c r="D91" s="30" t="s">
        <v>335</v>
      </c>
      <c r="E91" s="2"/>
      <c r="F91" s="2"/>
      <c r="G91" s="2"/>
      <c r="H91" s="2">
        <v>30</v>
      </c>
      <c r="I91" s="32" t="s">
        <v>398</v>
      </c>
      <c r="J91" s="30" t="s">
        <v>335</v>
      </c>
      <c r="K91" s="3" t="s">
        <v>107</v>
      </c>
      <c r="L91" s="2"/>
      <c r="M91" s="2"/>
      <c r="N91" s="2"/>
      <c r="O91" s="2"/>
      <c r="P91" s="2"/>
      <c r="Q91" s="2"/>
      <c r="R91" s="2"/>
      <c r="S91" s="2"/>
    </row>
    <row r="92" spans="1:19" ht="16" x14ac:dyDescent="0.2">
      <c r="A92" s="37" t="s">
        <v>325</v>
      </c>
      <c r="B92" s="48" t="s">
        <v>8</v>
      </c>
      <c r="C92" s="29" t="s">
        <v>352</v>
      </c>
      <c r="D92" s="29" t="s">
        <v>335</v>
      </c>
      <c r="E92" s="3"/>
      <c r="F92" s="3"/>
      <c r="G92" s="3"/>
      <c r="H92" s="3">
        <v>31</v>
      </c>
      <c r="I92" s="31" t="s">
        <v>399</v>
      </c>
      <c r="J92" s="29" t="s">
        <v>335</v>
      </c>
      <c r="K92" s="3" t="s">
        <v>107</v>
      </c>
      <c r="L92" s="3"/>
      <c r="M92" s="3"/>
      <c r="N92" s="3"/>
      <c r="O92" s="3"/>
      <c r="P92" s="3"/>
      <c r="Q92" s="3"/>
      <c r="R92" s="3"/>
      <c r="S92" s="3"/>
    </row>
    <row r="93" spans="1:19" ht="16" x14ac:dyDescent="0.2">
      <c r="A93" s="37" t="s">
        <v>325</v>
      </c>
      <c r="B93" s="48" t="s">
        <v>8</v>
      </c>
      <c r="C93" s="30" t="s">
        <v>353</v>
      </c>
      <c r="D93" s="30" t="s">
        <v>25</v>
      </c>
      <c r="E93" s="2"/>
      <c r="F93" s="2"/>
      <c r="G93" s="2"/>
      <c r="H93" s="2">
        <v>32</v>
      </c>
      <c r="I93" s="32" t="s">
        <v>400</v>
      </c>
      <c r="J93" s="30" t="s">
        <v>25</v>
      </c>
      <c r="K93" s="3" t="s">
        <v>107</v>
      </c>
      <c r="L93" s="2"/>
      <c r="M93" s="2"/>
      <c r="N93" s="2"/>
      <c r="O93" s="2"/>
      <c r="P93" s="2"/>
      <c r="Q93" s="2"/>
      <c r="R93" s="2"/>
      <c r="S93" s="2"/>
    </row>
    <row r="94" spans="1:19" ht="16" x14ac:dyDescent="0.2">
      <c r="A94" s="37" t="s">
        <v>325</v>
      </c>
      <c r="B94" s="48" t="s">
        <v>8</v>
      </c>
      <c r="C94" s="29" t="s">
        <v>354</v>
      </c>
      <c r="D94" s="29" t="s">
        <v>25</v>
      </c>
      <c r="E94" s="3"/>
      <c r="F94" s="3"/>
      <c r="G94" s="3"/>
      <c r="H94" s="3">
        <v>33</v>
      </c>
      <c r="I94" s="31" t="s">
        <v>401</v>
      </c>
      <c r="J94" s="29" t="s">
        <v>25</v>
      </c>
      <c r="K94" s="3" t="s">
        <v>107</v>
      </c>
      <c r="L94" s="3"/>
      <c r="M94" s="3"/>
      <c r="N94" s="3"/>
      <c r="O94" s="3"/>
      <c r="P94" s="3"/>
      <c r="Q94" s="3"/>
      <c r="R94" s="3"/>
      <c r="S94" s="3"/>
    </row>
    <row r="95" spans="1:19" ht="16" x14ac:dyDescent="0.2">
      <c r="A95" s="37" t="s">
        <v>325</v>
      </c>
      <c r="B95" s="48" t="s">
        <v>8</v>
      </c>
      <c r="C95" s="30" t="s">
        <v>355</v>
      </c>
      <c r="D95" s="30" t="s">
        <v>25</v>
      </c>
      <c r="E95" s="2"/>
      <c r="F95" s="2"/>
      <c r="G95" s="2"/>
      <c r="H95" s="2">
        <v>34</v>
      </c>
      <c r="I95" s="32" t="s">
        <v>402</v>
      </c>
      <c r="J95" s="30" t="s">
        <v>25</v>
      </c>
      <c r="K95" s="3" t="s">
        <v>107</v>
      </c>
      <c r="L95" s="2"/>
      <c r="M95" s="2"/>
      <c r="N95" s="2"/>
      <c r="O95" s="2"/>
      <c r="P95" s="2"/>
      <c r="Q95" s="2"/>
      <c r="R95" s="2"/>
      <c r="S95" s="2"/>
    </row>
    <row r="96" spans="1:19" ht="16" x14ac:dyDescent="0.2">
      <c r="A96" s="37" t="s">
        <v>325</v>
      </c>
      <c r="B96" s="48" t="s">
        <v>8</v>
      </c>
      <c r="C96" s="29" t="s">
        <v>356</v>
      </c>
      <c r="D96" s="29" t="s">
        <v>25</v>
      </c>
      <c r="E96" s="3"/>
      <c r="F96" s="3"/>
      <c r="G96" s="3"/>
      <c r="H96" s="3">
        <v>35</v>
      </c>
      <c r="I96" s="31" t="s">
        <v>403</v>
      </c>
      <c r="J96" s="29" t="s">
        <v>25</v>
      </c>
      <c r="K96" s="3" t="s">
        <v>107</v>
      </c>
      <c r="L96" s="3"/>
      <c r="M96" s="3"/>
      <c r="N96" s="3"/>
      <c r="O96" s="3"/>
      <c r="P96" s="3"/>
      <c r="Q96" s="3"/>
      <c r="R96" s="3"/>
      <c r="S96" s="3"/>
    </row>
    <row r="97" spans="1:19" ht="16" x14ac:dyDescent="0.2">
      <c r="A97" s="37" t="s">
        <v>325</v>
      </c>
      <c r="B97" s="48" t="s">
        <v>8</v>
      </c>
      <c r="C97" s="30" t="s">
        <v>357</v>
      </c>
      <c r="D97" s="30" t="s">
        <v>25</v>
      </c>
      <c r="E97" s="2"/>
      <c r="F97" s="2"/>
      <c r="G97" s="2"/>
      <c r="H97" s="2">
        <v>36</v>
      </c>
      <c r="I97" s="32" t="s">
        <v>404</v>
      </c>
      <c r="J97" s="30" t="s">
        <v>25</v>
      </c>
      <c r="K97" s="3" t="s">
        <v>107</v>
      </c>
      <c r="L97" s="2"/>
      <c r="M97" s="2"/>
      <c r="N97" s="2"/>
      <c r="O97" s="2"/>
      <c r="P97" s="2"/>
      <c r="Q97" s="2"/>
      <c r="R97" s="2"/>
      <c r="S97" s="2"/>
    </row>
    <row r="98" spans="1:19" ht="16" x14ac:dyDescent="0.2">
      <c r="A98" s="37" t="s">
        <v>325</v>
      </c>
      <c r="B98" s="48" t="s">
        <v>8</v>
      </c>
      <c r="C98" s="29" t="s">
        <v>358</v>
      </c>
      <c r="D98" s="29" t="s">
        <v>25</v>
      </c>
      <c r="E98" s="3"/>
      <c r="F98" s="3"/>
      <c r="G98" s="3"/>
      <c r="H98" s="3">
        <v>37</v>
      </c>
      <c r="I98" s="31" t="s">
        <v>405</v>
      </c>
      <c r="J98" s="29" t="s">
        <v>25</v>
      </c>
      <c r="K98" s="3" t="s">
        <v>107</v>
      </c>
      <c r="L98" s="3"/>
      <c r="M98" s="3"/>
      <c r="N98" s="3"/>
      <c r="O98" s="3"/>
      <c r="P98" s="3"/>
      <c r="Q98" s="3"/>
      <c r="R98" s="3"/>
      <c r="S98" s="3"/>
    </row>
    <row r="99" spans="1:19" ht="16" x14ac:dyDescent="0.2">
      <c r="A99" s="37" t="s">
        <v>325</v>
      </c>
      <c r="B99" s="48" t="s">
        <v>8</v>
      </c>
      <c r="C99" s="30" t="s">
        <v>359</v>
      </c>
      <c r="D99" s="30" t="s">
        <v>25</v>
      </c>
      <c r="E99" s="2"/>
      <c r="F99" s="2"/>
      <c r="G99" s="2"/>
      <c r="H99" s="2">
        <v>38</v>
      </c>
      <c r="I99" s="32" t="s">
        <v>406</v>
      </c>
      <c r="J99" s="30" t="s">
        <v>25</v>
      </c>
      <c r="K99" s="3" t="s">
        <v>107</v>
      </c>
      <c r="L99" s="2"/>
      <c r="M99" s="2"/>
      <c r="N99" s="2"/>
      <c r="O99" s="2"/>
      <c r="P99" s="2"/>
      <c r="Q99" s="2"/>
      <c r="R99" s="2"/>
      <c r="S99" s="2"/>
    </row>
    <row r="100" spans="1:19" ht="16" x14ac:dyDescent="0.2">
      <c r="A100" s="37" t="s">
        <v>325</v>
      </c>
      <c r="B100" s="48" t="s">
        <v>8</v>
      </c>
      <c r="C100" s="29" t="s">
        <v>360</v>
      </c>
      <c r="D100" s="29" t="s">
        <v>25</v>
      </c>
      <c r="E100" s="3"/>
      <c r="F100" s="3"/>
      <c r="G100" s="3"/>
      <c r="H100" s="3">
        <v>39</v>
      </c>
      <c r="I100" s="31" t="s">
        <v>360</v>
      </c>
      <c r="J100" s="29" t="s">
        <v>25</v>
      </c>
      <c r="K100" s="3" t="s">
        <v>107</v>
      </c>
      <c r="L100" s="3"/>
      <c r="M100" s="3"/>
      <c r="N100" s="3"/>
      <c r="O100" s="3"/>
      <c r="P100" s="3"/>
      <c r="Q100" s="3"/>
      <c r="R100" s="3"/>
      <c r="S100" s="3"/>
    </row>
    <row r="101" spans="1:19" ht="16" x14ac:dyDescent="0.2">
      <c r="A101" s="37" t="s">
        <v>325</v>
      </c>
      <c r="B101" s="48" t="s">
        <v>8</v>
      </c>
      <c r="C101" s="30" t="s">
        <v>361</v>
      </c>
      <c r="D101" s="30" t="s">
        <v>25</v>
      </c>
      <c r="E101" s="2"/>
      <c r="F101" s="2"/>
      <c r="G101" s="2"/>
      <c r="H101" s="2">
        <v>40</v>
      </c>
      <c r="I101" s="32" t="s">
        <v>361</v>
      </c>
      <c r="J101" s="30" t="s">
        <v>25</v>
      </c>
      <c r="K101" s="3" t="s">
        <v>107</v>
      </c>
      <c r="L101" s="2"/>
      <c r="M101" s="2"/>
      <c r="N101" s="2"/>
      <c r="O101" s="2"/>
      <c r="P101" s="2"/>
      <c r="Q101" s="2"/>
      <c r="R101" s="2"/>
      <c r="S101" s="2"/>
    </row>
    <row r="102" spans="1:19" ht="16" x14ac:dyDescent="0.2">
      <c r="A102" s="37" t="s">
        <v>325</v>
      </c>
      <c r="B102" s="48" t="s">
        <v>8</v>
      </c>
      <c r="C102" s="29" t="s">
        <v>362</v>
      </c>
      <c r="D102" s="29" t="s">
        <v>25</v>
      </c>
      <c r="E102" s="3"/>
      <c r="F102" s="3"/>
      <c r="G102" s="3"/>
      <c r="H102" s="3">
        <v>41</v>
      </c>
      <c r="I102" s="31" t="s">
        <v>362</v>
      </c>
      <c r="J102" s="29" t="s">
        <v>25</v>
      </c>
      <c r="K102" s="3" t="s">
        <v>107</v>
      </c>
      <c r="L102" s="3"/>
      <c r="M102" s="3"/>
      <c r="N102" s="3"/>
      <c r="O102" s="3"/>
      <c r="P102" s="3"/>
      <c r="Q102" s="3"/>
      <c r="R102" s="3"/>
      <c r="S102" s="3"/>
    </row>
    <row r="103" spans="1:19" ht="16" x14ac:dyDescent="0.2">
      <c r="A103" s="37" t="s">
        <v>325</v>
      </c>
      <c r="B103" s="48" t="s">
        <v>8</v>
      </c>
      <c r="C103" s="30" t="s">
        <v>363</v>
      </c>
      <c r="D103" s="30" t="s">
        <v>25</v>
      </c>
      <c r="E103" s="2"/>
      <c r="F103" s="2"/>
      <c r="G103" s="2"/>
      <c r="H103" s="2">
        <v>42</v>
      </c>
      <c r="I103" s="32" t="s">
        <v>363</v>
      </c>
      <c r="J103" s="30" t="s">
        <v>25</v>
      </c>
      <c r="K103" s="3" t="s">
        <v>107</v>
      </c>
      <c r="L103" s="2"/>
      <c r="M103" s="2"/>
      <c r="N103" s="2"/>
      <c r="O103" s="2"/>
      <c r="P103" s="2"/>
      <c r="Q103" s="2"/>
      <c r="R103" s="2"/>
      <c r="S103" s="2"/>
    </row>
    <row r="104" spans="1:19" ht="16" x14ac:dyDescent="0.2">
      <c r="A104" s="37" t="s">
        <v>325</v>
      </c>
      <c r="B104" s="48" t="s">
        <v>8</v>
      </c>
      <c r="C104" s="29" t="s">
        <v>364</v>
      </c>
      <c r="D104" s="29" t="s">
        <v>25</v>
      </c>
      <c r="E104" s="3"/>
      <c r="F104" s="3"/>
      <c r="G104" s="3"/>
      <c r="H104" s="3">
        <v>43</v>
      </c>
      <c r="I104" s="31" t="s">
        <v>364</v>
      </c>
      <c r="J104" s="29" t="s">
        <v>25</v>
      </c>
      <c r="K104" s="3" t="s">
        <v>107</v>
      </c>
      <c r="L104" s="3"/>
      <c r="M104" s="3"/>
      <c r="N104" s="3"/>
      <c r="O104" s="3"/>
      <c r="P104" s="3"/>
      <c r="Q104" s="3"/>
      <c r="R104" s="3"/>
      <c r="S104" s="3"/>
    </row>
    <row r="105" spans="1:19" ht="16" x14ac:dyDescent="0.2">
      <c r="A105" s="37" t="s">
        <v>325</v>
      </c>
      <c r="B105" s="48" t="s">
        <v>8</v>
      </c>
      <c r="C105" s="30" t="s">
        <v>365</v>
      </c>
      <c r="D105" s="30" t="s">
        <v>25</v>
      </c>
      <c r="E105" s="2"/>
      <c r="F105" s="2"/>
      <c r="G105" s="2"/>
      <c r="H105" s="2">
        <v>44</v>
      </c>
      <c r="I105" s="32" t="s">
        <v>365</v>
      </c>
      <c r="J105" s="30" t="s">
        <v>25</v>
      </c>
      <c r="K105" s="3" t="s">
        <v>107</v>
      </c>
      <c r="L105" s="2"/>
      <c r="M105" s="2"/>
      <c r="N105" s="2"/>
      <c r="O105" s="2"/>
      <c r="P105" s="2"/>
      <c r="Q105" s="2"/>
      <c r="R105" s="2"/>
      <c r="S105" s="2"/>
    </row>
    <row r="106" spans="1:19" ht="16" x14ac:dyDescent="0.2">
      <c r="A106" s="37" t="s">
        <v>325</v>
      </c>
      <c r="B106" s="48" t="s">
        <v>8</v>
      </c>
      <c r="C106" s="29" t="s">
        <v>366</v>
      </c>
      <c r="D106" s="29" t="s">
        <v>25</v>
      </c>
      <c r="E106" s="3"/>
      <c r="F106" s="3"/>
      <c r="G106" s="3"/>
      <c r="H106" s="3">
        <v>45</v>
      </c>
      <c r="I106" s="31" t="s">
        <v>366</v>
      </c>
      <c r="J106" s="29" t="s">
        <v>25</v>
      </c>
      <c r="K106" s="3" t="s">
        <v>107</v>
      </c>
      <c r="L106" s="3"/>
      <c r="M106" s="3"/>
      <c r="N106" s="3"/>
      <c r="O106" s="3"/>
      <c r="P106" s="3"/>
      <c r="Q106" s="3"/>
      <c r="R106" s="3"/>
      <c r="S106" s="3"/>
    </row>
    <row r="107" spans="1:19" ht="16" x14ac:dyDescent="0.2">
      <c r="A107" s="37" t="s">
        <v>325</v>
      </c>
      <c r="B107" s="48" t="s">
        <v>8</v>
      </c>
      <c r="C107" s="30" t="s">
        <v>367</v>
      </c>
      <c r="D107" s="30" t="s">
        <v>25</v>
      </c>
      <c r="E107" s="2"/>
      <c r="F107" s="2"/>
      <c r="G107" s="2"/>
      <c r="H107" s="2">
        <v>46</v>
      </c>
      <c r="I107" s="32" t="s">
        <v>367</v>
      </c>
      <c r="J107" s="30" t="s">
        <v>25</v>
      </c>
      <c r="K107" s="3" t="s">
        <v>107</v>
      </c>
      <c r="L107" s="2"/>
      <c r="M107" s="2"/>
      <c r="N107" s="2"/>
      <c r="O107" s="2"/>
      <c r="P107" s="2"/>
      <c r="Q107" s="2"/>
      <c r="R107" s="2"/>
      <c r="S107" s="2"/>
    </row>
    <row r="108" spans="1:19" ht="16" x14ac:dyDescent="0.2">
      <c r="A108" s="37" t="s">
        <v>325</v>
      </c>
      <c r="B108" s="48" t="s">
        <v>8</v>
      </c>
      <c r="C108" s="29" t="s">
        <v>368</v>
      </c>
      <c r="D108" s="29" t="s">
        <v>25</v>
      </c>
      <c r="E108" s="3"/>
      <c r="F108" s="3"/>
      <c r="G108" s="3"/>
      <c r="H108" s="3">
        <v>47</v>
      </c>
      <c r="I108" s="31" t="s">
        <v>368</v>
      </c>
      <c r="J108" s="29" t="s">
        <v>25</v>
      </c>
      <c r="K108" s="3" t="s">
        <v>107</v>
      </c>
      <c r="L108" s="3"/>
      <c r="M108" s="3"/>
      <c r="N108" s="3"/>
      <c r="O108" s="3"/>
      <c r="P108" s="3"/>
      <c r="Q108" s="3"/>
      <c r="R108" s="3"/>
      <c r="S108" s="3"/>
    </row>
    <row r="109" spans="1:19" ht="16" x14ac:dyDescent="0.2">
      <c r="A109" s="37" t="s">
        <v>325</v>
      </c>
      <c r="B109" s="48" t="s">
        <v>8</v>
      </c>
      <c r="C109" s="31" t="s">
        <v>23</v>
      </c>
      <c r="D109" s="3"/>
      <c r="E109" s="3"/>
      <c r="F109" s="38" t="s">
        <v>372</v>
      </c>
      <c r="G109" s="3"/>
      <c r="H109" s="3">
        <v>51</v>
      </c>
      <c r="I109" s="31" t="s">
        <v>31</v>
      </c>
      <c r="J109" s="3" t="s">
        <v>25</v>
      </c>
      <c r="K109" s="3" t="s">
        <v>107</v>
      </c>
      <c r="L109" s="3"/>
      <c r="M109" s="3"/>
      <c r="N109" s="3"/>
      <c r="O109" s="3"/>
      <c r="P109" s="3"/>
      <c r="Q109" s="3"/>
      <c r="R109" s="3"/>
      <c r="S109" s="3"/>
    </row>
    <row r="110" spans="1:19" ht="16" x14ac:dyDescent="0.2">
      <c r="A110" s="37" t="s">
        <v>325</v>
      </c>
      <c r="B110" s="48" t="s">
        <v>8</v>
      </c>
      <c r="C110" s="32" t="s">
        <v>23</v>
      </c>
      <c r="D110" s="2"/>
      <c r="E110" s="2"/>
      <c r="F110" s="39" t="s">
        <v>373</v>
      </c>
      <c r="G110" s="2"/>
      <c r="H110" s="2">
        <v>52</v>
      </c>
      <c r="I110" s="32" t="s">
        <v>207</v>
      </c>
      <c r="J110" s="2" t="s">
        <v>25</v>
      </c>
      <c r="K110" s="3" t="s">
        <v>107</v>
      </c>
      <c r="L110" s="3"/>
      <c r="M110" s="2"/>
      <c r="N110" s="2"/>
      <c r="O110" s="2"/>
      <c r="P110" s="2"/>
      <c r="Q110" s="2"/>
      <c r="R110" s="2"/>
      <c r="S110" s="2"/>
    </row>
    <row r="111" spans="1:19" ht="16" x14ac:dyDescent="0.2">
      <c r="A111" s="37" t="s">
        <v>325</v>
      </c>
      <c r="B111" s="48" t="s">
        <v>8</v>
      </c>
      <c r="C111" s="31" t="s">
        <v>23</v>
      </c>
      <c r="D111" s="3"/>
      <c r="E111" s="3"/>
      <c r="F111" s="3" t="s">
        <v>295</v>
      </c>
      <c r="G111" s="3"/>
      <c r="H111" s="3">
        <v>53</v>
      </c>
      <c r="I111" s="31" t="s">
        <v>209</v>
      </c>
      <c r="J111" s="3" t="s">
        <v>25</v>
      </c>
      <c r="K111" s="3" t="s">
        <v>107</v>
      </c>
      <c r="L111" s="3"/>
      <c r="M111" s="3"/>
      <c r="N111" s="3"/>
      <c r="O111" s="3"/>
      <c r="P111" s="3"/>
      <c r="Q111" s="3"/>
      <c r="R111" s="3"/>
      <c r="S111" s="3"/>
    </row>
    <row r="112" spans="1:19" ht="16" x14ac:dyDescent="0.2">
      <c r="A112" s="37" t="s">
        <v>325</v>
      </c>
      <c r="B112" s="48" t="s">
        <v>8</v>
      </c>
      <c r="C112" s="32" t="s">
        <v>23</v>
      </c>
      <c r="D112" s="2"/>
      <c r="E112" s="2"/>
      <c r="F112" s="2" t="s">
        <v>413</v>
      </c>
      <c r="G112" s="2"/>
      <c r="H112" s="2">
        <v>54</v>
      </c>
      <c r="I112" s="32" t="s">
        <v>105</v>
      </c>
      <c r="J112" s="2" t="s">
        <v>25</v>
      </c>
      <c r="K112" s="3" t="s">
        <v>107</v>
      </c>
      <c r="L112" s="2"/>
      <c r="M112" s="2"/>
      <c r="N112" s="2"/>
      <c r="O112" s="2"/>
      <c r="P112" s="2"/>
      <c r="Q112" s="2"/>
      <c r="R112" s="2"/>
      <c r="S112" s="2"/>
    </row>
    <row r="113" spans="1:19" ht="16" x14ac:dyDescent="0.2">
      <c r="A113" s="37" t="s">
        <v>325</v>
      </c>
      <c r="B113" s="48" t="s">
        <v>8</v>
      </c>
      <c r="C113" s="31" t="s">
        <v>23</v>
      </c>
      <c r="D113" s="3"/>
      <c r="E113" s="3"/>
      <c r="F113" s="3" t="s">
        <v>414</v>
      </c>
      <c r="G113" s="3"/>
      <c r="H113" s="3">
        <v>55</v>
      </c>
      <c r="I113" s="31" t="s">
        <v>410</v>
      </c>
      <c r="J113" s="3" t="s">
        <v>25</v>
      </c>
      <c r="K113" s="3" t="s">
        <v>107</v>
      </c>
      <c r="L113" s="3"/>
      <c r="M113" s="3"/>
      <c r="N113" s="3"/>
      <c r="O113" s="3"/>
      <c r="P113" s="3"/>
      <c r="Q113" s="3"/>
      <c r="R113" s="3"/>
      <c r="S113" s="3"/>
    </row>
    <row r="114" spans="1:19" ht="16" x14ac:dyDescent="0.2">
      <c r="A114" s="37" t="s">
        <v>325</v>
      </c>
      <c r="B114" s="48" t="s">
        <v>8</v>
      </c>
      <c r="C114" s="32" t="s">
        <v>23</v>
      </c>
      <c r="D114" s="2"/>
      <c r="E114" s="2"/>
      <c r="F114" s="2" t="s">
        <v>415</v>
      </c>
      <c r="G114" s="2"/>
      <c r="H114" s="2">
        <v>56</v>
      </c>
      <c r="I114" s="32" t="s">
        <v>411</v>
      </c>
      <c r="J114" s="2" t="s">
        <v>25</v>
      </c>
      <c r="K114" s="3" t="s">
        <v>107</v>
      </c>
      <c r="L114" s="2"/>
      <c r="M114" s="2"/>
      <c r="N114" s="2"/>
      <c r="O114" s="2"/>
      <c r="P114" s="2"/>
      <c r="Q114" s="2"/>
      <c r="R114" s="2"/>
      <c r="S114" s="2"/>
    </row>
    <row r="115" spans="1:19" ht="16" x14ac:dyDescent="0.2">
      <c r="A115" s="37" t="s">
        <v>325</v>
      </c>
      <c r="B115" s="48" t="s">
        <v>8</v>
      </c>
      <c r="C115" s="31" t="s">
        <v>23</v>
      </c>
      <c r="D115" s="3"/>
      <c r="E115" s="3"/>
      <c r="F115" s="3" t="s">
        <v>416</v>
      </c>
      <c r="G115" s="3"/>
      <c r="H115" s="3">
        <v>57</v>
      </c>
      <c r="I115" s="31" t="s">
        <v>412</v>
      </c>
      <c r="J115" s="3" t="s">
        <v>25</v>
      </c>
      <c r="K115" s="3" t="s">
        <v>107</v>
      </c>
      <c r="L115" s="3"/>
      <c r="M115" s="3"/>
      <c r="N115" s="3"/>
      <c r="O115" s="3"/>
      <c r="P115" s="3"/>
      <c r="Q115" s="3"/>
      <c r="R115" s="3"/>
      <c r="S115" s="3"/>
    </row>
    <row r="116" spans="1:19" ht="16" x14ac:dyDescent="0.2">
      <c r="A116" s="37" t="s">
        <v>325</v>
      </c>
      <c r="C116" s="24" t="s">
        <v>23</v>
      </c>
      <c r="H116" s="2">
        <v>58</v>
      </c>
      <c r="I116" s="62" t="s">
        <v>106</v>
      </c>
      <c r="J116" s="63" t="s">
        <v>25</v>
      </c>
    </row>
    <row r="117" spans="1:19" ht="64" x14ac:dyDescent="0.2">
      <c r="A117" s="37" t="s">
        <v>325</v>
      </c>
      <c r="B117" s="32"/>
      <c r="C117" s="32" t="s">
        <v>23</v>
      </c>
      <c r="D117" s="2"/>
      <c r="E117" s="2"/>
      <c r="F117" s="2"/>
      <c r="G117" s="52" t="s">
        <v>522</v>
      </c>
      <c r="H117" s="3">
        <v>59</v>
      </c>
      <c r="I117" s="29" t="s">
        <v>516</v>
      </c>
      <c r="J117" s="3" t="s">
        <v>25</v>
      </c>
      <c r="K117" s="3"/>
      <c r="L117" s="2"/>
      <c r="M117" s="2"/>
      <c r="N117" s="2"/>
      <c r="O117" s="2"/>
      <c r="P117" s="2"/>
      <c r="Q117" s="2"/>
      <c r="R117" s="2"/>
      <c r="S117" s="2"/>
    </row>
    <row r="118" spans="1:19" ht="80" x14ac:dyDescent="0.2">
      <c r="A118" s="37" t="s">
        <v>325</v>
      </c>
      <c r="B118" s="32"/>
      <c r="C118" s="32" t="s">
        <v>23</v>
      </c>
      <c r="G118" s="52" t="s">
        <v>523</v>
      </c>
      <c r="H118" s="2">
        <v>60</v>
      </c>
      <c r="I118" s="30" t="s">
        <v>517</v>
      </c>
      <c r="J118" s="2" t="s">
        <v>97</v>
      </c>
    </row>
    <row r="119" spans="1:19" ht="64" x14ac:dyDescent="0.2">
      <c r="A119" s="37" t="s">
        <v>325</v>
      </c>
      <c r="B119" s="32"/>
      <c r="C119" s="32" t="s">
        <v>23</v>
      </c>
      <c r="G119" s="52" t="s">
        <v>520</v>
      </c>
      <c r="H119" s="3">
        <v>61</v>
      </c>
      <c r="I119" s="29" t="s">
        <v>518</v>
      </c>
      <c r="J119" s="3" t="s">
        <v>97</v>
      </c>
      <c r="K119" s="33"/>
    </row>
    <row r="120" spans="1:19" ht="64" x14ac:dyDescent="0.2">
      <c r="A120" s="37" t="s">
        <v>325</v>
      </c>
      <c r="B120" s="32"/>
      <c r="C120" s="32" t="s">
        <v>23</v>
      </c>
      <c r="G120" s="52" t="s">
        <v>521</v>
      </c>
      <c r="H120" s="2">
        <v>62</v>
      </c>
      <c r="I120" s="30" t="s">
        <v>519</v>
      </c>
      <c r="J120" s="2" t="s">
        <v>97</v>
      </c>
    </row>
  </sheetData>
  <phoneticPr fontId="2" type="noConversion"/>
  <conditionalFormatting sqref="F3">
    <cfRule type="duplicateValues" dxfId="60" priority="21"/>
  </conditionalFormatting>
  <conditionalFormatting sqref="F63">
    <cfRule type="duplicateValues" dxfId="59" priority="22"/>
  </conditionalFormatting>
  <conditionalFormatting sqref="C56">
    <cfRule type="duplicateValues" dxfId="58" priority="4"/>
  </conditionalFormatting>
  <conditionalFormatting sqref="I56">
    <cfRule type="duplicateValues" dxfId="57" priority="3"/>
  </conditionalFormatting>
  <conditionalFormatting sqref="C116">
    <cfRule type="duplicateValues" dxfId="56" priority="2"/>
  </conditionalFormatting>
  <conditionalFormatting sqref="I116">
    <cfRule type="duplicateValues" dxfId="55" priority="1"/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C8F6C-AD6B-C149-8530-9E978BC7CFFC}">
  <sheetPr codeName="Sheet10">
    <tabColor theme="8" tint="0.59999389629810485"/>
  </sheetPr>
  <dimension ref="A1:H34"/>
  <sheetViews>
    <sheetView workbookViewId="0">
      <selection activeCell="A2" sqref="A2"/>
    </sheetView>
  </sheetViews>
  <sheetFormatPr baseColWidth="10" defaultRowHeight="15" x14ac:dyDescent="0.2"/>
  <cols>
    <col min="1" max="1" width="17.1640625" bestFit="1" customWidth="1"/>
    <col min="2" max="2" width="14.5" bestFit="1" customWidth="1"/>
    <col min="3" max="3" width="7.33203125" bestFit="1" customWidth="1"/>
    <col min="4" max="4" width="16.5" bestFit="1" customWidth="1"/>
    <col min="5" max="5" width="19.1640625" bestFit="1" customWidth="1"/>
    <col min="6" max="6" width="16.83203125" bestFit="1" customWidth="1"/>
    <col min="7" max="7" width="15.6640625" bestFit="1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ht="16" x14ac:dyDescent="0.2">
      <c r="A2" s="27" t="s">
        <v>323</v>
      </c>
      <c r="B2" s="27" t="s">
        <v>417</v>
      </c>
      <c r="C2" t="s">
        <v>418</v>
      </c>
      <c r="D2" s="1"/>
      <c r="E2">
        <v>1</v>
      </c>
    </row>
    <row r="3" spans="1:8" x14ac:dyDescent="0.2">
      <c r="B3" s="16"/>
    </row>
    <row r="4" spans="1:8" x14ac:dyDescent="0.2">
      <c r="B4" s="16"/>
    </row>
    <row r="5" spans="1:8" x14ac:dyDescent="0.2">
      <c r="B5" s="16"/>
    </row>
    <row r="6" spans="1:8" x14ac:dyDescent="0.2">
      <c r="B6" s="16"/>
    </row>
    <row r="7" spans="1:8" x14ac:dyDescent="0.2">
      <c r="B7" s="16"/>
    </row>
    <row r="8" spans="1:8" x14ac:dyDescent="0.2">
      <c r="B8" s="16"/>
    </row>
    <row r="9" spans="1:8" x14ac:dyDescent="0.2">
      <c r="B9" s="16"/>
    </row>
    <row r="10" spans="1:8" x14ac:dyDescent="0.2">
      <c r="B10" s="16"/>
    </row>
    <row r="11" spans="1:8" x14ac:dyDescent="0.2">
      <c r="B11" s="16"/>
    </row>
    <row r="12" spans="1:8" x14ac:dyDescent="0.2">
      <c r="B12" s="16"/>
    </row>
    <row r="13" spans="1:8" x14ac:dyDescent="0.2">
      <c r="B13" s="16"/>
    </row>
    <row r="14" spans="1:8" x14ac:dyDescent="0.2">
      <c r="B14" s="16"/>
    </row>
    <row r="15" spans="1:8" x14ac:dyDescent="0.2">
      <c r="B15" s="16"/>
    </row>
    <row r="16" spans="1:8" x14ac:dyDescent="0.2">
      <c r="B16" s="16"/>
    </row>
    <row r="17" spans="2:2" x14ac:dyDescent="0.2">
      <c r="B17" s="16"/>
    </row>
    <row r="18" spans="2:2" x14ac:dyDescent="0.2">
      <c r="B18" s="16"/>
    </row>
    <row r="19" spans="2:2" x14ac:dyDescent="0.2">
      <c r="B19" s="16"/>
    </row>
    <row r="20" spans="2:2" x14ac:dyDescent="0.2">
      <c r="B20" s="16"/>
    </row>
    <row r="21" spans="2:2" x14ac:dyDescent="0.2">
      <c r="B21" s="16"/>
    </row>
    <row r="22" spans="2:2" x14ac:dyDescent="0.2">
      <c r="B22" s="16"/>
    </row>
    <row r="23" spans="2:2" x14ac:dyDescent="0.2">
      <c r="B23" s="16"/>
    </row>
    <row r="24" spans="2:2" x14ac:dyDescent="0.2">
      <c r="B24" s="16"/>
    </row>
    <row r="25" spans="2:2" x14ac:dyDescent="0.2">
      <c r="B25" s="16"/>
    </row>
    <row r="26" spans="2:2" x14ac:dyDescent="0.2">
      <c r="B26" s="16"/>
    </row>
    <row r="27" spans="2:2" x14ac:dyDescent="0.2">
      <c r="B27" s="16"/>
    </row>
    <row r="28" spans="2:2" x14ac:dyDescent="0.2">
      <c r="B28" s="16"/>
    </row>
    <row r="29" spans="2:2" x14ac:dyDescent="0.2">
      <c r="B29" s="16"/>
    </row>
    <row r="30" spans="2:2" x14ac:dyDescent="0.2">
      <c r="B30" s="16"/>
    </row>
    <row r="31" spans="2:2" x14ac:dyDescent="0.2">
      <c r="B31" s="16"/>
    </row>
    <row r="32" spans="2:2" x14ac:dyDescent="0.2">
      <c r="B32" s="16"/>
    </row>
    <row r="33" spans="2:2" x14ac:dyDescent="0.2">
      <c r="B33" s="16"/>
    </row>
    <row r="34" spans="2:2" x14ac:dyDescent="0.2">
      <c r="B34" s="16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1065E-D6CC-7D4E-B992-448C28CF2369}">
  <sheetPr codeName="Sheet11">
    <tabColor theme="8" tint="0.59999389629810485"/>
  </sheetPr>
  <dimension ref="A1:U66"/>
  <sheetViews>
    <sheetView topLeftCell="A41" workbookViewId="0">
      <selection activeCell="M67" sqref="M67"/>
    </sheetView>
  </sheetViews>
  <sheetFormatPr baseColWidth="10" defaultColWidth="8.83203125" defaultRowHeight="15" x14ac:dyDescent="0.2"/>
  <cols>
    <col min="1" max="1" width="17.1640625" style="24" bestFit="1" customWidth="1"/>
    <col min="2" max="2" width="13.5" style="24" bestFit="1" customWidth="1"/>
    <col min="3" max="3" width="33" customWidth="1"/>
    <col min="4" max="4" width="13.6640625" bestFit="1" customWidth="1"/>
    <col min="5" max="5" width="16.83203125" bestFit="1" customWidth="1"/>
    <col min="6" max="6" width="41" customWidth="1"/>
    <col min="7" max="7" width="24.1640625" customWidth="1"/>
    <col min="8" max="8" width="9" bestFit="1" customWidth="1"/>
    <col min="9" max="9" width="33.1640625" customWidth="1"/>
    <col min="10" max="10" width="21.1640625" bestFit="1" customWidth="1"/>
    <col min="11" max="11" width="21.1640625" customWidth="1"/>
    <col min="12" max="12" width="20.83203125" customWidth="1"/>
    <col min="13" max="13" width="27" bestFit="1" customWidth="1"/>
    <col min="14" max="14" width="10" bestFit="1" customWidth="1"/>
    <col min="15" max="15" width="10" customWidth="1"/>
    <col min="16" max="16" width="37.33203125" customWidth="1"/>
    <col min="17" max="17" width="16.33203125" bestFit="1" customWidth="1"/>
    <col min="18" max="18" width="12.1640625" bestFit="1" customWidth="1"/>
    <col min="19" max="19" width="15.33203125" bestFit="1" customWidth="1"/>
    <col min="20" max="20" width="16.6640625" bestFit="1" customWidth="1"/>
    <col min="21" max="21" width="54.83203125" customWidth="1"/>
  </cols>
  <sheetData>
    <row r="1" spans="1:21" ht="16" x14ac:dyDescent="0.2">
      <c r="A1" s="24" t="s">
        <v>0</v>
      </c>
      <c r="B1" s="24" t="s">
        <v>1</v>
      </c>
      <c r="C1" s="11" t="s">
        <v>9</v>
      </c>
      <c r="D1" s="11" t="s">
        <v>10</v>
      </c>
      <c r="E1" s="11" t="s">
        <v>11</v>
      </c>
      <c r="F1" s="11" t="s">
        <v>12</v>
      </c>
      <c r="G1" s="11" t="s">
        <v>13</v>
      </c>
      <c r="H1" t="s">
        <v>14</v>
      </c>
      <c r="I1" s="11" t="s">
        <v>15</v>
      </c>
      <c r="J1" s="11" t="s">
        <v>16</v>
      </c>
      <c r="K1" s="11" t="s">
        <v>106</v>
      </c>
      <c r="L1" s="11" t="s">
        <v>559</v>
      </c>
      <c r="M1" s="11" t="s">
        <v>17</v>
      </c>
      <c r="N1" s="11" t="s">
        <v>18</v>
      </c>
      <c r="O1" s="53" t="s">
        <v>196</v>
      </c>
      <c r="P1" s="51" t="s">
        <v>514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197</v>
      </c>
    </row>
    <row r="2" spans="1:21" ht="224" x14ac:dyDescent="0.2">
      <c r="A2" t="s">
        <v>323</v>
      </c>
      <c r="B2" s="24" t="s">
        <v>418</v>
      </c>
      <c r="C2" s="24" t="s">
        <v>23</v>
      </c>
      <c r="E2" s="4"/>
      <c r="F2" s="28" t="s">
        <v>425</v>
      </c>
      <c r="G2" s="4"/>
      <c r="H2">
        <v>1</v>
      </c>
      <c r="I2" s="28" t="s">
        <v>208</v>
      </c>
      <c r="J2" s="3" t="s">
        <v>195</v>
      </c>
      <c r="K2" s="3"/>
      <c r="L2" s="4" t="s">
        <v>562</v>
      </c>
      <c r="M2" s="4" t="s">
        <v>535</v>
      </c>
      <c r="N2" s="3" t="s">
        <v>26</v>
      </c>
      <c r="O2" t="s">
        <v>542</v>
      </c>
      <c r="P2" s="1" t="s">
        <v>546</v>
      </c>
      <c r="Q2" s="3"/>
      <c r="R2" s="3"/>
      <c r="S2" s="3"/>
      <c r="T2" s="3"/>
      <c r="U2" s="4"/>
    </row>
    <row r="3" spans="1:21" ht="16" x14ac:dyDescent="0.2">
      <c r="A3" t="s">
        <v>323</v>
      </c>
      <c r="B3" s="24" t="s">
        <v>418</v>
      </c>
      <c r="C3" s="24" t="s">
        <v>23</v>
      </c>
      <c r="F3" s="28" t="s">
        <v>426</v>
      </c>
      <c r="H3">
        <v>2</v>
      </c>
      <c r="I3" s="28" t="s">
        <v>24</v>
      </c>
      <c r="J3" s="28"/>
      <c r="K3" s="28"/>
      <c r="O3" t="s">
        <v>542</v>
      </c>
      <c r="P3" s="2" t="s">
        <v>536</v>
      </c>
    </row>
    <row r="4" spans="1:21" ht="288" x14ac:dyDescent="0.2">
      <c r="A4" t="s">
        <v>323</v>
      </c>
      <c r="B4" s="24" t="s">
        <v>418</v>
      </c>
      <c r="C4" s="24" t="s">
        <v>23</v>
      </c>
      <c r="F4" s="1" t="s">
        <v>474</v>
      </c>
      <c r="H4">
        <v>3</v>
      </c>
      <c r="I4" s="28" t="s">
        <v>471</v>
      </c>
      <c r="J4" s="28"/>
      <c r="K4" s="28"/>
      <c r="O4" t="s">
        <v>542</v>
      </c>
    </row>
    <row r="5" spans="1:21" ht="96" x14ac:dyDescent="0.2">
      <c r="A5" t="s">
        <v>323</v>
      </c>
      <c r="B5" s="24" t="s">
        <v>418</v>
      </c>
      <c r="C5" s="24" t="s">
        <v>23</v>
      </c>
      <c r="F5" s="1" t="s">
        <v>475</v>
      </c>
      <c r="H5">
        <v>4</v>
      </c>
      <c r="I5" s="28" t="s">
        <v>408</v>
      </c>
      <c r="J5" s="28"/>
      <c r="K5" s="28"/>
      <c r="O5" t="s">
        <v>542</v>
      </c>
    </row>
    <row r="6" spans="1:21" ht="380" x14ac:dyDescent="0.2">
      <c r="A6" t="s">
        <v>323</v>
      </c>
      <c r="B6" s="24" t="s">
        <v>418</v>
      </c>
      <c r="C6" s="24" t="s">
        <v>23</v>
      </c>
      <c r="F6" s="1" t="s">
        <v>476</v>
      </c>
      <c r="H6">
        <v>5</v>
      </c>
      <c r="I6" s="28" t="s">
        <v>472</v>
      </c>
      <c r="J6" s="28"/>
      <c r="K6" s="28"/>
      <c r="O6" t="s">
        <v>542</v>
      </c>
    </row>
    <row r="7" spans="1:21" ht="16" x14ac:dyDescent="0.2">
      <c r="A7" t="s">
        <v>323</v>
      </c>
      <c r="B7" s="24" t="s">
        <v>418</v>
      </c>
      <c r="C7" s="28" t="s">
        <v>425</v>
      </c>
      <c r="D7" s="28" t="s">
        <v>25</v>
      </c>
      <c r="H7">
        <v>6</v>
      </c>
      <c r="I7" s="28" t="s">
        <v>379</v>
      </c>
      <c r="J7" s="28" t="s">
        <v>25</v>
      </c>
      <c r="K7" s="28" t="s">
        <v>107</v>
      </c>
      <c r="O7" t="s">
        <v>547</v>
      </c>
    </row>
    <row r="8" spans="1:21" ht="16" x14ac:dyDescent="0.2">
      <c r="A8" t="s">
        <v>323</v>
      </c>
      <c r="B8" s="24" t="s">
        <v>418</v>
      </c>
      <c r="C8" s="28" t="s">
        <v>426</v>
      </c>
      <c r="D8" s="28" t="s">
        <v>25</v>
      </c>
      <c r="H8">
        <v>7</v>
      </c>
      <c r="I8" s="28" t="s">
        <v>380</v>
      </c>
      <c r="J8" s="28" t="s">
        <v>25</v>
      </c>
      <c r="K8" s="28" t="s">
        <v>107</v>
      </c>
    </row>
    <row r="9" spans="1:21" ht="16" x14ac:dyDescent="0.2">
      <c r="A9" t="s">
        <v>323</v>
      </c>
      <c r="B9" s="24" t="s">
        <v>418</v>
      </c>
      <c r="C9" s="28" t="s">
        <v>427</v>
      </c>
      <c r="D9" s="28" t="s">
        <v>25</v>
      </c>
      <c r="H9">
        <v>8</v>
      </c>
      <c r="I9" s="28" t="s">
        <v>459</v>
      </c>
      <c r="J9" s="28" t="s">
        <v>25</v>
      </c>
      <c r="K9" s="28" t="s">
        <v>107</v>
      </c>
    </row>
    <row r="10" spans="1:21" ht="16" x14ac:dyDescent="0.2">
      <c r="A10" t="s">
        <v>323</v>
      </c>
      <c r="B10" s="24" t="s">
        <v>418</v>
      </c>
      <c r="C10" s="28" t="s">
        <v>23</v>
      </c>
      <c r="D10" s="28"/>
      <c r="F10" t="s">
        <v>458</v>
      </c>
      <c r="H10">
        <v>9</v>
      </c>
      <c r="I10" s="28" t="s">
        <v>461</v>
      </c>
      <c r="J10" s="28" t="s">
        <v>28</v>
      </c>
      <c r="K10" s="28" t="s">
        <v>107</v>
      </c>
    </row>
    <row r="11" spans="1:21" ht="16" x14ac:dyDescent="0.2">
      <c r="A11" t="s">
        <v>323</v>
      </c>
      <c r="B11" s="24" t="s">
        <v>418</v>
      </c>
      <c r="C11" s="28" t="s">
        <v>23</v>
      </c>
      <c r="D11" s="28"/>
      <c r="F11" t="s">
        <v>369</v>
      </c>
      <c r="H11">
        <v>10</v>
      </c>
      <c r="I11" s="28" t="s">
        <v>460</v>
      </c>
      <c r="J11" s="28" t="s">
        <v>28</v>
      </c>
      <c r="K11" s="28" t="s">
        <v>107</v>
      </c>
    </row>
    <row r="12" spans="1:21" ht="16" x14ac:dyDescent="0.2">
      <c r="A12" t="s">
        <v>323</v>
      </c>
      <c r="B12" s="24" t="s">
        <v>418</v>
      </c>
      <c r="C12" s="28" t="s">
        <v>428</v>
      </c>
      <c r="D12" s="28" t="s">
        <v>25</v>
      </c>
      <c r="H12">
        <v>11</v>
      </c>
      <c r="I12" s="28" t="s">
        <v>374</v>
      </c>
      <c r="J12" s="28" t="s">
        <v>25</v>
      </c>
      <c r="K12" s="28" t="s">
        <v>107</v>
      </c>
    </row>
    <row r="13" spans="1:21" ht="16" x14ac:dyDescent="0.2">
      <c r="A13" t="s">
        <v>323</v>
      </c>
      <c r="B13" s="24" t="s">
        <v>418</v>
      </c>
      <c r="C13" s="28" t="s">
        <v>368</v>
      </c>
      <c r="D13" s="28" t="s">
        <v>25</v>
      </c>
      <c r="H13">
        <v>12</v>
      </c>
      <c r="I13" s="28" t="s">
        <v>375</v>
      </c>
      <c r="J13" s="28" t="s">
        <v>25</v>
      </c>
      <c r="K13" s="28" t="s">
        <v>107</v>
      </c>
    </row>
    <row r="14" spans="1:21" ht="16" x14ac:dyDescent="0.2">
      <c r="A14" t="s">
        <v>323</v>
      </c>
      <c r="B14" s="24" t="s">
        <v>418</v>
      </c>
      <c r="C14" s="28" t="s">
        <v>429</v>
      </c>
      <c r="D14" s="28" t="s">
        <v>25</v>
      </c>
      <c r="H14">
        <v>13</v>
      </c>
      <c r="I14" s="28" t="s">
        <v>462</v>
      </c>
      <c r="J14" s="28" t="s">
        <v>25</v>
      </c>
      <c r="K14" s="28" t="s">
        <v>107</v>
      </c>
    </row>
    <row r="15" spans="1:21" ht="16" x14ac:dyDescent="0.2">
      <c r="A15" t="s">
        <v>323</v>
      </c>
      <c r="B15" s="24" t="s">
        <v>418</v>
      </c>
      <c r="C15" s="28" t="s">
        <v>431</v>
      </c>
      <c r="D15" s="28" t="s">
        <v>25</v>
      </c>
      <c r="H15">
        <v>14</v>
      </c>
      <c r="I15" s="28" t="s">
        <v>463</v>
      </c>
      <c r="J15" s="28" t="s">
        <v>25</v>
      </c>
      <c r="K15" s="28" t="s">
        <v>107</v>
      </c>
    </row>
    <row r="16" spans="1:21" ht="16" x14ac:dyDescent="0.2">
      <c r="A16" t="s">
        <v>323</v>
      </c>
      <c r="B16" s="24" t="s">
        <v>418</v>
      </c>
      <c r="C16" s="28" t="s">
        <v>436</v>
      </c>
      <c r="D16" s="28" t="s">
        <v>25</v>
      </c>
      <c r="H16">
        <v>15</v>
      </c>
      <c r="I16" s="28" t="s">
        <v>400</v>
      </c>
      <c r="J16" s="28" t="s">
        <v>25</v>
      </c>
      <c r="K16" s="28" t="s">
        <v>107</v>
      </c>
    </row>
    <row r="17" spans="1:14" ht="16" x14ac:dyDescent="0.2">
      <c r="A17" t="s">
        <v>323</v>
      </c>
      <c r="B17" s="24" t="s">
        <v>418</v>
      </c>
      <c r="C17" s="28" t="s">
        <v>437</v>
      </c>
      <c r="D17" s="28" t="s">
        <v>25</v>
      </c>
      <c r="H17">
        <v>16</v>
      </c>
      <c r="I17" s="28" t="s">
        <v>464</v>
      </c>
      <c r="J17" s="28" t="s">
        <v>25</v>
      </c>
      <c r="K17" s="28" t="s">
        <v>107</v>
      </c>
    </row>
    <row r="18" spans="1:14" ht="16" x14ac:dyDescent="0.2">
      <c r="A18" t="s">
        <v>323</v>
      </c>
      <c r="B18" s="24" t="s">
        <v>418</v>
      </c>
      <c r="C18" s="28" t="s">
        <v>438</v>
      </c>
      <c r="D18" s="28" t="s">
        <v>439</v>
      </c>
      <c r="H18">
        <v>17</v>
      </c>
      <c r="I18" s="28" t="s">
        <v>465</v>
      </c>
      <c r="J18" s="28" t="s">
        <v>439</v>
      </c>
      <c r="K18" s="28" t="s">
        <v>107</v>
      </c>
    </row>
    <row r="19" spans="1:14" ht="16" x14ac:dyDescent="0.2">
      <c r="A19" t="s">
        <v>323</v>
      </c>
      <c r="B19" s="24" t="s">
        <v>418</v>
      </c>
      <c r="C19" s="28" t="s">
        <v>440</v>
      </c>
      <c r="D19" s="28" t="s">
        <v>441</v>
      </c>
      <c r="H19">
        <v>18</v>
      </c>
      <c r="I19" s="28" t="s">
        <v>466</v>
      </c>
      <c r="J19" s="28" t="s">
        <v>441</v>
      </c>
      <c r="K19" s="28" t="s">
        <v>107</v>
      </c>
    </row>
    <row r="20" spans="1:14" ht="16" x14ac:dyDescent="0.2">
      <c r="A20" t="s">
        <v>323</v>
      </c>
      <c r="B20" s="24" t="s">
        <v>418</v>
      </c>
      <c r="C20" s="28" t="s">
        <v>355</v>
      </c>
      <c r="D20" s="28" t="s">
        <v>25</v>
      </c>
      <c r="H20">
        <v>19</v>
      </c>
      <c r="I20" s="28" t="s">
        <v>402</v>
      </c>
      <c r="J20" s="28" t="s">
        <v>25</v>
      </c>
      <c r="K20" s="28" t="s">
        <v>107</v>
      </c>
    </row>
    <row r="21" spans="1:14" ht="16" x14ac:dyDescent="0.2">
      <c r="A21" t="s">
        <v>323</v>
      </c>
      <c r="B21" s="24" t="s">
        <v>418</v>
      </c>
      <c r="C21" s="28" t="s">
        <v>356</v>
      </c>
      <c r="D21" s="28" t="s">
        <v>25</v>
      </c>
      <c r="H21">
        <v>20</v>
      </c>
      <c r="I21" s="28" t="s">
        <v>403</v>
      </c>
      <c r="J21" s="28" t="s">
        <v>25</v>
      </c>
      <c r="K21" s="28" t="s">
        <v>107</v>
      </c>
    </row>
    <row r="22" spans="1:14" ht="16" x14ac:dyDescent="0.2">
      <c r="A22" t="s">
        <v>323</v>
      </c>
      <c r="B22" s="24" t="s">
        <v>418</v>
      </c>
      <c r="C22" s="28" t="s">
        <v>357</v>
      </c>
      <c r="D22" s="28" t="s">
        <v>25</v>
      </c>
      <c r="H22">
        <v>21</v>
      </c>
      <c r="I22" s="28" t="s">
        <v>404</v>
      </c>
      <c r="J22" s="28" t="s">
        <v>25</v>
      </c>
      <c r="K22" s="28" t="s">
        <v>107</v>
      </c>
    </row>
    <row r="23" spans="1:14" ht="16" x14ac:dyDescent="0.2">
      <c r="A23" t="s">
        <v>323</v>
      </c>
      <c r="B23" s="24" t="s">
        <v>418</v>
      </c>
      <c r="C23" s="28" t="s">
        <v>448</v>
      </c>
      <c r="D23" s="28" t="s">
        <v>25</v>
      </c>
      <c r="H23">
        <v>22</v>
      </c>
      <c r="I23" s="28" t="s">
        <v>467</v>
      </c>
      <c r="J23" s="28" t="s">
        <v>25</v>
      </c>
      <c r="K23" s="28" t="s">
        <v>107</v>
      </c>
    </row>
    <row r="24" spans="1:14" ht="16" x14ac:dyDescent="0.2">
      <c r="A24" t="s">
        <v>323</v>
      </c>
      <c r="B24" s="24" t="s">
        <v>418</v>
      </c>
      <c r="C24" s="28" t="s">
        <v>449</v>
      </c>
      <c r="D24" s="28" t="s">
        <v>25</v>
      </c>
      <c r="H24">
        <v>23</v>
      </c>
      <c r="I24" s="28" t="s">
        <v>468</v>
      </c>
      <c r="J24" s="28" t="s">
        <v>25</v>
      </c>
      <c r="K24" s="28" t="s">
        <v>107</v>
      </c>
    </row>
    <row r="25" spans="1:14" ht="16" x14ac:dyDescent="0.2">
      <c r="A25" t="s">
        <v>323</v>
      </c>
      <c r="B25" s="24" t="s">
        <v>418</v>
      </c>
      <c r="C25" s="28" t="s">
        <v>450</v>
      </c>
      <c r="D25" s="28" t="s">
        <v>25</v>
      </c>
      <c r="H25">
        <v>24</v>
      </c>
      <c r="I25" s="28" t="s">
        <v>469</v>
      </c>
      <c r="J25" s="28" t="s">
        <v>25</v>
      </c>
      <c r="K25" s="28" t="s">
        <v>107</v>
      </c>
    </row>
    <row r="26" spans="1:14" ht="16" x14ac:dyDescent="0.2">
      <c r="A26" t="s">
        <v>323</v>
      </c>
      <c r="B26" s="24" t="s">
        <v>418</v>
      </c>
      <c r="C26" s="28" t="s">
        <v>452</v>
      </c>
      <c r="D26" s="28" t="s">
        <v>25</v>
      </c>
      <c r="H26">
        <v>25</v>
      </c>
      <c r="I26" s="28" t="s">
        <v>470</v>
      </c>
      <c r="J26" s="28" t="s">
        <v>25</v>
      </c>
      <c r="K26" s="28" t="s">
        <v>107</v>
      </c>
    </row>
    <row r="27" spans="1:14" ht="16" x14ac:dyDescent="0.2">
      <c r="A27" t="s">
        <v>323</v>
      </c>
      <c r="B27" s="24" t="s">
        <v>418</v>
      </c>
      <c r="C27" s="28" t="s">
        <v>346</v>
      </c>
      <c r="D27" s="28" t="s">
        <v>25</v>
      </c>
      <c r="H27">
        <v>26</v>
      </c>
      <c r="I27" s="28" t="s">
        <v>393</v>
      </c>
      <c r="J27" s="28" t="s">
        <v>25</v>
      </c>
      <c r="K27" s="28" t="s">
        <v>107</v>
      </c>
    </row>
    <row r="28" spans="1:14" ht="16" x14ac:dyDescent="0.2">
      <c r="A28" t="s">
        <v>323</v>
      </c>
      <c r="B28" s="24" t="s">
        <v>418</v>
      </c>
      <c r="C28" s="28" t="s">
        <v>430</v>
      </c>
      <c r="D28" s="28" t="s">
        <v>25</v>
      </c>
      <c r="H28">
        <v>27</v>
      </c>
      <c r="I28" s="28" t="s">
        <v>430</v>
      </c>
      <c r="J28" s="28" t="s">
        <v>25</v>
      </c>
      <c r="K28" s="28" t="s">
        <v>107</v>
      </c>
    </row>
    <row r="29" spans="1:14" ht="16" x14ac:dyDescent="0.2">
      <c r="A29" t="s">
        <v>323</v>
      </c>
      <c r="B29" s="24" t="s">
        <v>418</v>
      </c>
      <c r="C29" s="28" t="s">
        <v>360</v>
      </c>
      <c r="D29" s="28" t="s">
        <v>25</v>
      </c>
      <c r="H29">
        <v>28</v>
      </c>
      <c r="I29" s="28" t="s">
        <v>360</v>
      </c>
      <c r="J29" s="28" t="s">
        <v>25</v>
      </c>
      <c r="K29" s="28" t="s">
        <v>107</v>
      </c>
      <c r="N29" t="s">
        <v>26</v>
      </c>
    </row>
    <row r="30" spans="1:14" ht="16" x14ac:dyDescent="0.2">
      <c r="A30" t="s">
        <v>323</v>
      </c>
      <c r="B30" s="24" t="s">
        <v>418</v>
      </c>
      <c r="C30" s="28" t="s">
        <v>419</v>
      </c>
      <c r="D30" s="28" t="s">
        <v>25</v>
      </c>
      <c r="H30">
        <v>29</v>
      </c>
      <c r="I30" s="28" t="s">
        <v>419</v>
      </c>
      <c r="J30" s="28" t="s">
        <v>25</v>
      </c>
      <c r="K30" s="28" t="s">
        <v>107</v>
      </c>
    </row>
    <row r="31" spans="1:14" ht="16" x14ac:dyDescent="0.2">
      <c r="A31" t="s">
        <v>323</v>
      </c>
      <c r="B31" s="24" t="s">
        <v>418</v>
      </c>
      <c r="C31" s="28" t="s">
        <v>420</v>
      </c>
      <c r="D31" s="28" t="s">
        <v>25</v>
      </c>
      <c r="H31">
        <v>30</v>
      </c>
      <c r="I31" s="28" t="s">
        <v>420</v>
      </c>
      <c r="J31" s="28" t="s">
        <v>25</v>
      </c>
      <c r="K31" s="28" t="s">
        <v>107</v>
      </c>
    </row>
    <row r="32" spans="1:14" ht="16" x14ac:dyDescent="0.2">
      <c r="A32" t="s">
        <v>323</v>
      </c>
      <c r="B32" s="24" t="s">
        <v>418</v>
      </c>
      <c r="C32" s="28" t="s">
        <v>421</v>
      </c>
      <c r="D32" s="28" t="s">
        <v>25</v>
      </c>
      <c r="H32">
        <v>31</v>
      </c>
      <c r="I32" s="28" t="s">
        <v>421</v>
      </c>
      <c r="J32" s="28" t="s">
        <v>25</v>
      </c>
      <c r="K32" s="28" t="s">
        <v>107</v>
      </c>
    </row>
    <row r="33" spans="1:17" ht="16" x14ac:dyDescent="0.2">
      <c r="A33" t="s">
        <v>323</v>
      </c>
      <c r="B33" s="24" t="s">
        <v>418</v>
      </c>
      <c r="C33" s="28" t="s">
        <v>422</v>
      </c>
      <c r="D33" s="28" t="s">
        <v>25</v>
      </c>
      <c r="H33">
        <v>32</v>
      </c>
      <c r="I33" s="28" t="s">
        <v>422</v>
      </c>
      <c r="J33" s="28" t="s">
        <v>25</v>
      </c>
      <c r="K33" s="28" t="s">
        <v>107</v>
      </c>
    </row>
    <row r="34" spans="1:17" ht="16" x14ac:dyDescent="0.2">
      <c r="A34" t="s">
        <v>323</v>
      </c>
      <c r="B34" s="24" t="s">
        <v>418</v>
      </c>
      <c r="C34" s="28" t="s">
        <v>423</v>
      </c>
      <c r="D34" s="28" t="s">
        <v>25</v>
      </c>
      <c r="H34">
        <v>33</v>
      </c>
      <c r="I34" s="28" t="s">
        <v>423</v>
      </c>
      <c r="J34" s="28" t="s">
        <v>25</v>
      </c>
      <c r="K34" s="28" t="s">
        <v>107</v>
      </c>
    </row>
    <row r="35" spans="1:17" ht="16" x14ac:dyDescent="0.2">
      <c r="A35" t="s">
        <v>323</v>
      </c>
      <c r="B35" s="24" t="s">
        <v>418</v>
      </c>
      <c r="C35" s="28" t="s">
        <v>424</v>
      </c>
      <c r="D35" s="28" t="s">
        <v>25</v>
      </c>
      <c r="H35">
        <v>34</v>
      </c>
      <c r="I35" s="28" t="s">
        <v>424</v>
      </c>
      <c r="J35" s="28" t="s">
        <v>25</v>
      </c>
      <c r="K35" s="28" t="s">
        <v>107</v>
      </c>
    </row>
    <row r="36" spans="1:17" ht="16" x14ac:dyDescent="0.2">
      <c r="A36" t="s">
        <v>323</v>
      </c>
      <c r="B36" s="24" t="s">
        <v>418</v>
      </c>
      <c r="C36" s="28" t="s">
        <v>432</v>
      </c>
      <c r="D36" s="28" t="s">
        <v>433</v>
      </c>
      <c r="H36">
        <v>35</v>
      </c>
      <c r="I36" s="28" t="s">
        <v>432</v>
      </c>
      <c r="J36" s="28" t="s">
        <v>433</v>
      </c>
      <c r="K36" s="28" t="s">
        <v>107</v>
      </c>
    </row>
    <row r="37" spans="1:17" ht="16" x14ac:dyDescent="0.2">
      <c r="A37" t="s">
        <v>323</v>
      </c>
      <c r="B37" s="24" t="s">
        <v>418</v>
      </c>
      <c r="C37" s="28" t="s">
        <v>434</v>
      </c>
      <c r="D37" s="28" t="s">
        <v>25</v>
      </c>
      <c r="H37">
        <v>36</v>
      </c>
      <c r="I37" s="28" t="s">
        <v>434</v>
      </c>
      <c r="J37" s="28" t="s">
        <v>25</v>
      </c>
      <c r="K37" s="28" t="s">
        <v>107</v>
      </c>
    </row>
    <row r="38" spans="1:17" ht="16" x14ac:dyDescent="0.2">
      <c r="A38" t="s">
        <v>323</v>
      </c>
      <c r="B38" s="24" t="s">
        <v>418</v>
      </c>
      <c r="C38" s="28" t="s">
        <v>435</v>
      </c>
      <c r="D38" s="28" t="s">
        <v>25</v>
      </c>
      <c r="H38">
        <v>37</v>
      </c>
      <c r="I38" s="28" t="s">
        <v>435</v>
      </c>
      <c r="J38" s="28" t="s">
        <v>25</v>
      </c>
      <c r="K38" s="28" t="s">
        <v>107</v>
      </c>
    </row>
    <row r="39" spans="1:17" ht="16" x14ac:dyDescent="0.2">
      <c r="A39" t="s">
        <v>323</v>
      </c>
      <c r="B39" s="24" t="s">
        <v>418</v>
      </c>
      <c r="C39" s="28" t="s">
        <v>442</v>
      </c>
      <c r="D39" s="28" t="s">
        <v>25</v>
      </c>
      <c r="H39">
        <v>38</v>
      </c>
      <c r="I39" s="28" t="s">
        <v>442</v>
      </c>
      <c r="J39" s="28" t="s">
        <v>25</v>
      </c>
      <c r="K39" s="28" t="s">
        <v>107</v>
      </c>
    </row>
    <row r="40" spans="1:17" ht="16" x14ac:dyDescent="0.2">
      <c r="A40" t="s">
        <v>323</v>
      </c>
      <c r="B40" s="24" t="s">
        <v>418</v>
      </c>
      <c r="C40" s="28" t="s">
        <v>443</v>
      </c>
      <c r="D40" s="28" t="s">
        <v>444</v>
      </c>
      <c r="H40">
        <v>39</v>
      </c>
      <c r="I40" s="28" t="s">
        <v>443</v>
      </c>
      <c r="J40" s="28" t="s">
        <v>444</v>
      </c>
      <c r="K40" s="28" t="s">
        <v>107</v>
      </c>
    </row>
    <row r="41" spans="1:17" ht="16" x14ac:dyDescent="0.2">
      <c r="A41" t="s">
        <v>323</v>
      </c>
      <c r="B41" s="24" t="s">
        <v>418</v>
      </c>
      <c r="C41" s="28" t="s">
        <v>445</v>
      </c>
      <c r="D41" s="28" t="s">
        <v>441</v>
      </c>
      <c r="H41">
        <v>40</v>
      </c>
      <c r="I41" s="28" t="s">
        <v>445</v>
      </c>
      <c r="J41" s="28" t="s">
        <v>441</v>
      </c>
      <c r="K41" s="28" t="s">
        <v>107</v>
      </c>
    </row>
    <row r="42" spans="1:17" ht="16" x14ac:dyDescent="0.2">
      <c r="A42" t="s">
        <v>323</v>
      </c>
      <c r="B42" s="24" t="s">
        <v>418</v>
      </c>
      <c r="C42" s="28" t="s">
        <v>446</v>
      </c>
      <c r="D42" s="28" t="s">
        <v>444</v>
      </c>
      <c r="H42">
        <v>41</v>
      </c>
      <c r="I42" s="28" t="s">
        <v>446</v>
      </c>
      <c r="J42" s="28" t="s">
        <v>444</v>
      </c>
      <c r="K42" s="28" t="s">
        <v>107</v>
      </c>
    </row>
    <row r="43" spans="1:17" ht="16" x14ac:dyDescent="0.2">
      <c r="A43" t="s">
        <v>323</v>
      </c>
      <c r="B43" s="24" t="s">
        <v>418</v>
      </c>
      <c r="C43" s="28" t="s">
        <v>447</v>
      </c>
      <c r="D43" s="28" t="s">
        <v>25</v>
      </c>
      <c r="H43">
        <v>42</v>
      </c>
      <c r="I43" s="28" t="s">
        <v>447</v>
      </c>
      <c r="J43" s="28" t="s">
        <v>25</v>
      </c>
      <c r="K43" s="28" t="s">
        <v>107</v>
      </c>
    </row>
    <row r="44" spans="1:17" ht="16" x14ac:dyDescent="0.2">
      <c r="A44" t="s">
        <v>323</v>
      </c>
      <c r="B44" s="24" t="s">
        <v>418</v>
      </c>
      <c r="C44" s="28" t="s">
        <v>451</v>
      </c>
      <c r="D44" s="28" t="s">
        <v>25</v>
      </c>
      <c r="H44">
        <v>43</v>
      </c>
      <c r="I44" s="28" t="s">
        <v>451</v>
      </c>
      <c r="J44" s="28" t="s">
        <v>25</v>
      </c>
      <c r="K44" s="28" t="s">
        <v>107</v>
      </c>
    </row>
    <row r="45" spans="1:17" ht="16" x14ac:dyDescent="0.2">
      <c r="A45" t="s">
        <v>323</v>
      </c>
      <c r="B45" s="24" t="s">
        <v>418</v>
      </c>
      <c r="C45" s="28" t="s">
        <v>453</v>
      </c>
      <c r="D45" s="28" t="s">
        <v>441</v>
      </c>
      <c r="H45">
        <v>44</v>
      </c>
      <c r="I45" s="28" t="s">
        <v>453</v>
      </c>
      <c r="J45" s="28" t="s">
        <v>441</v>
      </c>
      <c r="K45" s="28" t="s">
        <v>107</v>
      </c>
    </row>
    <row r="46" spans="1:17" ht="16" x14ac:dyDescent="0.2">
      <c r="A46" t="s">
        <v>323</v>
      </c>
      <c r="B46" s="24" t="s">
        <v>418</v>
      </c>
      <c r="C46" s="28" t="s">
        <v>454</v>
      </c>
      <c r="D46" s="28" t="s">
        <v>25</v>
      </c>
      <c r="H46">
        <v>45</v>
      </c>
      <c r="I46" s="28" t="s">
        <v>454</v>
      </c>
      <c r="J46" s="28" t="s">
        <v>25</v>
      </c>
      <c r="K46" s="28" t="s">
        <v>107</v>
      </c>
      <c r="Q46" t="s">
        <v>107</v>
      </c>
    </row>
    <row r="47" spans="1:17" ht="16" x14ac:dyDescent="0.2">
      <c r="A47" t="s">
        <v>323</v>
      </c>
      <c r="B47" s="24" t="s">
        <v>418</v>
      </c>
      <c r="C47" s="28" t="s">
        <v>455</v>
      </c>
      <c r="D47" s="28" t="s">
        <v>456</v>
      </c>
      <c r="H47">
        <v>46</v>
      </c>
      <c r="I47" s="28" t="s">
        <v>455</v>
      </c>
      <c r="J47" s="28" t="s">
        <v>456</v>
      </c>
      <c r="K47" s="28" t="s">
        <v>107</v>
      </c>
    </row>
    <row r="48" spans="1:17" ht="16" x14ac:dyDescent="0.2">
      <c r="A48" t="s">
        <v>323</v>
      </c>
      <c r="B48" s="24" t="s">
        <v>418</v>
      </c>
      <c r="C48" s="28" t="s">
        <v>457</v>
      </c>
      <c r="D48" s="28" t="s">
        <v>25</v>
      </c>
      <c r="H48">
        <v>47</v>
      </c>
      <c r="I48" s="28" t="s">
        <v>457</v>
      </c>
      <c r="J48" s="28" t="s">
        <v>25</v>
      </c>
      <c r="K48" s="28" t="s">
        <v>107</v>
      </c>
    </row>
    <row r="49" spans="1:11" ht="16" x14ac:dyDescent="0.2">
      <c r="A49" t="s">
        <v>323</v>
      </c>
      <c r="B49" s="24" t="s">
        <v>418</v>
      </c>
      <c r="C49" s="24" t="s">
        <v>23</v>
      </c>
      <c r="F49" s="17" t="s">
        <v>372</v>
      </c>
      <c r="H49">
        <v>51</v>
      </c>
      <c r="I49" s="28" t="s">
        <v>31</v>
      </c>
      <c r="J49" t="s">
        <v>25</v>
      </c>
      <c r="K49" s="28" t="s">
        <v>107</v>
      </c>
    </row>
    <row r="50" spans="1:11" ht="16" x14ac:dyDescent="0.2">
      <c r="A50" t="s">
        <v>323</v>
      </c>
      <c r="B50" s="24" t="s">
        <v>418</v>
      </c>
      <c r="C50" s="24" t="s">
        <v>23</v>
      </c>
      <c r="F50" s="17" t="s">
        <v>373</v>
      </c>
      <c r="H50">
        <v>52</v>
      </c>
      <c r="I50" s="28" t="s">
        <v>207</v>
      </c>
      <c r="J50" t="s">
        <v>25</v>
      </c>
      <c r="K50" s="28" t="s">
        <v>107</v>
      </c>
    </row>
    <row r="51" spans="1:11" ht="16" x14ac:dyDescent="0.2">
      <c r="A51" t="s">
        <v>323</v>
      </c>
      <c r="B51" s="24" t="s">
        <v>418</v>
      </c>
      <c r="C51" s="24" t="s">
        <v>23</v>
      </c>
      <c r="F51" t="s">
        <v>295</v>
      </c>
      <c r="H51">
        <v>53</v>
      </c>
      <c r="I51" s="28" t="s">
        <v>209</v>
      </c>
      <c r="J51" t="s">
        <v>25</v>
      </c>
      <c r="K51" s="28" t="s">
        <v>107</v>
      </c>
    </row>
    <row r="52" spans="1:11" ht="16" x14ac:dyDescent="0.2">
      <c r="A52" t="s">
        <v>323</v>
      </c>
      <c r="B52" s="24" t="s">
        <v>418</v>
      </c>
      <c r="C52" t="s">
        <v>23</v>
      </c>
      <c r="F52" t="s">
        <v>413</v>
      </c>
      <c r="H52">
        <v>54</v>
      </c>
      <c r="I52" s="32" t="s">
        <v>105</v>
      </c>
      <c r="J52" t="s">
        <v>25</v>
      </c>
      <c r="K52" t="s">
        <v>107</v>
      </c>
    </row>
    <row r="53" spans="1:11" ht="16" x14ac:dyDescent="0.2">
      <c r="A53" t="s">
        <v>323</v>
      </c>
      <c r="B53" s="24" t="s">
        <v>418</v>
      </c>
      <c r="C53" t="s">
        <v>23</v>
      </c>
      <c r="F53" t="s">
        <v>477</v>
      </c>
      <c r="H53">
        <v>55</v>
      </c>
      <c r="I53" s="32" t="s">
        <v>478</v>
      </c>
      <c r="J53" t="s">
        <v>25</v>
      </c>
      <c r="K53" t="s">
        <v>107</v>
      </c>
    </row>
    <row r="54" spans="1:11" ht="16" x14ac:dyDescent="0.2">
      <c r="A54" t="s">
        <v>323</v>
      </c>
      <c r="B54" s="24" t="s">
        <v>418</v>
      </c>
      <c r="C54" t="s">
        <v>23</v>
      </c>
      <c r="F54" t="s">
        <v>415</v>
      </c>
      <c r="H54">
        <v>56</v>
      </c>
      <c r="I54" s="32" t="s">
        <v>411</v>
      </c>
      <c r="J54" t="s">
        <v>25</v>
      </c>
      <c r="K54" t="s">
        <v>107</v>
      </c>
    </row>
    <row r="55" spans="1:11" ht="16" x14ac:dyDescent="0.2">
      <c r="A55" t="s">
        <v>323</v>
      </c>
      <c r="B55" s="24" t="s">
        <v>418</v>
      </c>
      <c r="C55" t="s">
        <v>23</v>
      </c>
      <c r="F55" t="s">
        <v>479</v>
      </c>
      <c r="H55">
        <v>57</v>
      </c>
      <c r="I55" s="32" t="s">
        <v>480</v>
      </c>
      <c r="J55" t="s">
        <v>25</v>
      </c>
      <c r="K55" t="s">
        <v>107</v>
      </c>
    </row>
    <row r="56" spans="1:11" ht="16" x14ac:dyDescent="0.2">
      <c r="A56" t="s">
        <v>323</v>
      </c>
      <c r="B56" s="24" t="s">
        <v>418</v>
      </c>
      <c r="C56" t="s">
        <v>23</v>
      </c>
      <c r="F56" t="s">
        <v>486</v>
      </c>
      <c r="H56">
        <v>58</v>
      </c>
      <c r="I56" s="32" t="s">
        <v>481</v>
      </c>
      <c r="J56" t="s">
        <v>25</v>
      </c>
      <c r="K56" t="s">
        <v>107</v>
      </c>
    </row>
    <row r="57" spans="1:11" ht="16" x14ac:dyDescent="0.2">
      <c r="A57" t="s">
        <v>323</v>
      </c>
      <c r="B57" s="24" t="s">
        <v>418</v>
      </c>
      <c r="C57" t="s">
        <v>23</v>
      </c>
      <c r="F57" t="s">
        <v>487</v>
      </c>
      <c r="H57">
        <v>59</v>
      </c>
      <c r="I57" s="32" t="s">
        <v>482</v>
      </c>
      <c r="J57" t="s">
        <v>25</v>
      </c>
      <c r="K57" t="s">
        <v>107</v>
      </c>
    </row>
    <row r="58" spans="1:11" ht="16" x14ac:dyDescent="0.2">
      <c r="A58" t="s">
        <v>323</v>
      </c>
      <c r="B58" s="24" t="s">
        <v>418</v>
      </c>
      <c r="C58" t="s">
        <v>23</v>
      </c>
      <c r="F58" t="s">
        <v>488</v>
      </c>
      <c r="H58">
        <v>60</v>
      </c>
      <c r="I58" s="32" t="s">
        <v>483</v>
      </c>
      <c r="J58" t="s">
        <v>25</v>
      </c>
      <c r="K58" t="s">
        <v>107</v>
      </c>
    </row>
    <row r="59" spans="1:11" ht="16" x14ac:dyDescent="0.2">
      <c r="A59" t="s">
        <v>323</v>
      </c>
      <c r="B59" s="24" t="s">
        <v>418</v>
      </c>
      <c r="C59" t="s">
        <v>23</v>
      </c>
      <c r="F59" t="s">
        <v>489</v>
      </c>
      <c r="H59">
        <v>61</v>
      </c>
      <c r="I59" s="32" t="s">
        <v>484</v>
      </c>
      <c r="J59" t="s">
        <v>25</v>
      </c>
      <c r="K59" t="s">
        <v>107</v>
      </c>
    </row>
    <row r="60" spans="1:11" ht="16" x14ac:dyDescent="0.2">
      <c r="A60" t="s">
        <v>323</v>
      </c>
      <c r="B60" s="24" t="s">
        <v>418</v>
      </c>
      <c r="C60" t="s">
        <v>23</v>
      </c>
      <c r="F60" t="s">
        <v>490</v>
      </c>
      <c r="H60">
        <v>62</v>
      </c>
      <c r="I60" s="32" t="s">
        <v>485</v>
      </c>
      <c r="J60" t="s">
        <v>25</v>
      </c>
      <c r="K60" t="s">
        <v>107</v>
      </c>
    </row>
    <row r="61" spans="1:11" ht="16" x14ac:dyDescent="0.2">
      <c r="A61" t="s">
        <v>323</v>
      </c>
      <c r="C61" s="24" t="s">
        <v>23</v>
      </c>
      <c r="H61" s="2">
        <v>63</v>
      </c>
      <c r="I61" s="62" t="s">
        <v>106</v>
      </c>
      <c r="J61" s="63" t="s">
        <v>25</v>
      </c>
    </row>
    <row r="62" spans="1:11" ht="64" x14ac:dyDescent="0.2">
      <c r="A62" t="s">
        <v>323</v>
      </c>
      <c r="C62" s="24" t="s">
        <v>23</v>
      </c>
      <c r="F62" s="3"/>
      <c r="G62" s="52" t="s">
        <v>522</v>
      </c>
      <c r="H62" s="3">
        <v>64</v>
      </c>
      <c r="I62" s="29" t="s">
        <v>516</v>
      </c>
      <c r="J62" s="3" t="s">
        <v>25</v>
      </c>
      <c r="K62" s="28"/>
    </row>
    <row r="63" spans="1:11" ht="80" x14ac:dyDescent="0.2">
      <c r="A63" t="s">
        <v>323</v>
      </c>
      <c r="C63" s="24" t="s">
        <v>23</v>
      </c>
      <c r="F63" s="33"/>
      <c r="G63" s="52" t="s">
        <v>523</v>
      </c>
      <c r="H63" s="3">
        <v>65</v>
      </c>
      <c r="I63" s="30" t="s">
        <v>517</v>
      </c>
      <c r="J63" s="2" t="s">
        <v>97</v>
      </c>
      <c r="K63" s="28"/>
    </row>
    <row r="64" spans="1:11" ht="64" x14ac:dyDescent="0.2">
      <c r="A64" t="s">
        <v>323</v>
      </c>
      <c r="C64" s="24" t="s">
        <v>23</v>
      </c>
      <c r="F64" s="33"/>
      <c r="G64" s="52" t="s">
        <v>520</v>
      </c>
      <c r="H64" s="2">
        <v>66</v>
      </c>
      <c r="I64" s="29" t="s">
        <v>518</v>
      </c>
      <c r="J64" s="3" t="s">
        <v>97</v>
      </c>
      <c r="K64" s="28"/>
    </row>
    <row r="65" spans="1:11" ht="64" x14ac:dyDescent="0.2">
      <c r="A65" t="s">
        <v>323</v>
      </c>
      <c r="C65" s="24" t="s">
        <v>23</v>
      </c>
      <c r="F65" s="33"/>
      <c r="G65" s="52" t="s">
        <v>521</v>
      </c>
      <c r="H65" s="3">
        <v>67</v>
      </c>
      <c r="I65" s="30" t="s">
        <v>519</v>
      </c>
      <c r="J65" s="2" t="s">
        <v>97</v>
      </c>
      <c r="K65" s="28"/>
    </row>
    <row r="66" spans="1:11" x14ac:dyDescent="0.2">
      <c r="A66"/>
    </row>
  </sheetData>
  <phoneticPr fontId="2" type="noConversion"/>
  <conditionalFormatting sqref="C10:C11">
    <cfRule type="duplicateValues" dxfId="37" priority="5"/>
  </conditionalFormatting>
  <conditionalFormatting sqref="C62:C1048576 C12:C51 C1:C9">
    <cfRule type="duplicateValues" dxfId="36" priority="7"/>
  </conditionalFormatting>
  <conditionalFormatting sqref="C62:C1048576 C49:C51 C1:C6">
    <cfRule type="duplicateValues" dxfId="35" priority="11"/>
  </conditionalFormatting>
  <conditionalFormatting sqref="F2">
    <cfRule type="duplicateValues" dxfId="34" priority="4"/>
  </conditionalFormatting>
  <conditionalFormatting sqref="F3">
    <cfRule type="duplicateValues" dxfId="33" priority="3"/>
  </conditionalFormatting>
  <conditionalFormatting sqref="I66:I1048576 I1:I51">
    <cfRule type="duplicateValues" dxfId="32" priority="17"/>
  </conditionalFormatting>
  <conditionalFormatting sqref="C61">
    <cfRule type="duplicateValues" dxfId="31" priority="2"/>
  </conditionalFormatting>
  <conditionalFormatting sqref="I61">
    <cfRule type="duplicateValues" dxfId="30" priority="1"/>
  </conditionalFormatting>
  <pageMargins left="0.7" right="0.7" top="0.75" bottom="0.75" header="0.3" footer="0.3"/>
  <pageSetup orientation="portrait" horizontalDpi="0" verticalDpi="0"/>
  <legacy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B2C53-B414-4C3D-8845-7DFCB62427CE}">
  <sheetPr codeName="Sheet12">
    <tabColor theme="8" tint="0.59999389629810485"/>
  </sheetPr>
  <dimension ref="A1:I16"/>
  <sheetViews>
    <sheetView workbookViewId="0">
      <selection activeCell="E1" sqref="E1"/>
    </sheetView>
  </sheetViews>
  <sheetFormatPr baseColWidth="10" defaultColWidth="8.83203125" defaultRowHeight="15" x14ac:dyDescent="0.2"/>
  <cols>
    <col min="1" max="1" width="11.6640625" customWidth="1"/>
    <col min="2" max="2" width="39" customWidth="1"/>
    <col min="3" max="3" width="10.83203125" customWidth="1"/>
    <col min="4" max="5" width="48.1640625" style="1" customWidth="1"/>
    <col min="6" max="6" width="11.33203125" customWidth="1"/>
    <col min="7" max="7" width="31.33203125" customWidth="1"/>
    <col min="8" max="8" width="36.5" bestFit="1" customWidth="1"/>
    <col min="9" max="9" width="11.5" customWidth="1"/>
  </cols>
  <sheetData>
    <row r="1" spans="1:9" s="1" customFormat="1" ht="32" x14ac:dyDescent="0.2">
      <c r="A1" s="1" t="s">
        <v>0</v>
      </c>
      <c r="B1" s="1" t="s">
        <v>1</v>
      </c>
      <c r="C1" s="1" t="s">
        <v>2</v>
      </c>
      <c r="D1" s="1" t="s">
        <v>3</v>
      </c>
      <c r="E1" s="61" t="s">
        <v>549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ht="85" x14ac:dyDescent="0.2">
      <c r="A2" t="s">
        <v>101</v>
      </c>
      <c r="B2" t="s">
        <v>108</v>
      </c>
      <c r="C2" t="s">
        <v>210</v>
      </c>
      <c r="D2" s="54" t="s">
        <v>548</v>
      </c>
      <c r="E2" s="55" t="s">
        <v>550</v>
      </c>
      <c r="F2">
        <v>1</v>
      </c>
      <c r="I2" t="s">
        <v>213</v>
      </c>
    </row>
    <row r="3" spans="1:9" ht="16" x14ac:dyDescent="0.2">
      <c r="A3" t="s">
        <v>101</v>
      </c>
      <c r="B3" t="s">
        <v>109</v>
      </c>
      <c r="C3" t="s">
        <v>211</v>
      </c>
      <c r="D3" s="54" t="s">
        <v>548</v>
      </c>
      <c r="E3" s="54"/>
      <c r="F3">
        <v>1</v>
      </c>
      <c r="I3" t="s">
        <v>213</v>
      </c>
    </row>
    <row r="4" spans="1:9" ht="16" x14ac:dyDescent="0.2">
      <c r="A4" t="s">
        <v>101</v>
      </c>
      <c r="B4" t="s">
        <v>110</v>
      </c>
      <c r="C4" t="s">
        <v>212</v>
      </c>
      <c r="D4" s="54" t="s">
        <v>548</v>
      </c>
      <c r="E4" s="54"/>
      <c r="F4">
        <v>1</v>
      </c>
      <c r="I4" t="s">
        <v>213</v>
      </c>
    </row>
    <row r="5" spans="1:9" ht="16" x14ac:dyDescent="0.2">
      <c r="A5" t="s">
        <v>101</v>
      </c>
      <c r="B5" t="s">
        <v>296</v>
      </c>
      <c r="C5" t="s">
        <v>297</v>
      </c>
      <c r="D5" s="54" t="s">
        <v>548</v>
      </c>
      <c r="E5" s="54"/>
      <c r="F5">
        <v>1</v>
      </c>
      <c r="I5" t="s">
        <v>213</v>
      </c>
    </row>
    <row r="6" spans="1:9" ht="16" x14ac:dyDescent="0.2">
      <c r="A6" t="s">
        <v>101</v>
      </c>
      <c r="B6" t="s">
        <v>298</v>
      </c>
      <c r="C6" t="s">
        <v>299</v>
      </c>
      <c r="D6" s="54" t="s">
        <v>548</v>
      </c>
      <c r="E6" s="54"/>
      <c r="F6">
        <v>1</v>
      </c>
      <c r="I6" t="s">
        <v>213</v>
      </c>
    </row>
    <row r="15" spans="1:9" ht="16" x14ac:dyDescent="0.2">
      <c r="B15" s="27"/>
    </row>
    <row r="16" spans="1:9" ht="16" x14ac:dyDescent="0.2">
      <c r="B16" s="27"/>
    </row>
  </sheetData>
  <pageMargins left="0.7" right="0.7" top="0.75" bottom="0.75" header="0.3" footer="0.3"/>
  <pageSetup orientation="portrait" horizontalDpi="90" verticalDpi="9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9A1A3-3DCA-47E6-BCB3-0E042829CD52}">
  <sheetPr codeName="Sheet13">
    <tabColor theme="8" tint="0.59999389629810485"/>
  </sheetPr>
  <dimension ref="A1:R30"/>
  <sheetViews>
    <sheetView zoomScale="120" zoomScaleNormal="120" workbookViewId="0">
      <selection activeCell="K1" sqref="K1"/>
    </sheetView>
  </sheetViews>
  <sheetFormatPr baseColWidth="10" defaultColWidth="8.83203125" defaultRowHeight="15" x14ac:dyDescent="0.2"/>
  <cols>
    <col min="1" max="1" width="13.1640625" customWidth="1"/>
    <col min="2" max="2" width="17.6640625" bestFit="1" customWidth="1"/>
    <col min="3" max="3" width="15.33203125" bestFit="1" customWidth="1"/>
    <col min="4" max="4" width="12.6640625" customWidth="1"/>
    <col min="5" max="5" width="17.1640625" style="1" customWidth="1"/>
    <col min="6" max="6" width="18.33203125" customWidth="1"/>
    <col min="7" max="7" width="10.5" bestFit="1" customWidth="1"/>
    <col min="8" max="8" width="9" bestFit="1" customWidth="1"/>
    <col min="9" max="9" width="14.5" bestFit="1" customWidth="1"/>
    <col min="10" max="10" width="12.5" customWidth="1"/>
    <col min="11" max="11" width="14.83203125" customWidth="1"/>
    <col min="12" max="12" width="9.33203125" bestFit="1" customWidth="1"/>
    <col min="13" max="13" width="10" bestFit="1" customWidth="1"/>
    <col min="14" max="14" width="16.33203125" bestFit="1" customWidth="1"/>
    <col min="15" max="15" width="9.33203125" bestFit="1" customWidth="1"/>
    <col min="16" max="16" width="11.83203125" bestFit="1" customWidth="1"/>
    <col min="17" max="17" width="11.1640625" bestFit="1" customWidth="1"/>
    <col min="18" max="18" width="13.33203125" bestFit="1" customWidth="1"/>
  </cols>
  <sheetData>
    <row r="1" spans="1:18" ht="32" x14ac:dyDescent="0.2">
      <c r="A1" s="1" t="s">
        <v>0</v>
      </c>
      <c r="B1" s="1" t="s">
        <v>1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61" t="s">
        <v>559</v>
      </c>
      <c r="L1" s="1" t="s">
        <v>17</v>
      </c>
      <c r="M1" s="1" t="s">
        <v>18</v>
      </c>
      <c r="N1" s="1" t="s">
        <v>19</v>
      </c>
      <c r="O1" s="1" t="s">
        <v>20</v>
      </c>
      <c r="P1" s="1" t="s">
        <v>21</v>
      </c>
      <c r="Q1" s="1" t="s">
        <v>22</v>
      </c>
      <c r="R1" s="1" t="s">
        <v>104</v>
      </c>
    </row>
    <row r="2" spans="1:18" ht="32" x14ac:dyDescent="0.2">
      <c r="A2" s="9" t="s">
        <v>101</v>
      </c>
      <c r="B2" t="s">
        <v>210</v>
      </c>
      <c r="C2" s="28" t="s">
        <v>209</v>
      </c>
      <c r="D2" s="28" t="s">
        <v>25</v>
      </c>
      <c r="E2" s="7"/>
      <c r="F2" s="7"/>
      <c r="G2" s="7"/>
      <c r="H2" s="10">
        <v>1</v>
      </c>
      <c r="I2" s="28" t="s">
        <v>209</v>
      </c>
      <c r="J2" s="7" t="s">
        <v>25</v>
      </c>
      <c r="K2" s="7" t="s">
        <v>563</v>
      </c>
      <c r="L2" s="9" t="s">
        <v>17</v>
      </c>
      <c r="M2" s="9" t="s">
        <v>26</v>
      </c>
      <c r="N2" s="9"/>
      <c r="O2" s="9"/>
      <c r="P2" s="9"/>
      <c r="Q2" s="9"/>
      <c r="R2" s="9"/>
    </row>
    <row r="3" spans="1:18" ht="16" x14ac:dyDescent="0.2">
      <c r="A3" s="9" t="s">
        <v>101</v>
      </c>
      <c r="B3" t="s">
        <v>210</v>
      </c>
      <c r="C3" s="28" t="s">
        <v>208</v>
      </c>
      <c r="D3" s="28" t="s">
        <v>25</v>
      </c>
      <c r="E3" s="7"/>
      <c r="F3" s="7"/>
      <c r="G3" s="7"/>
      <c r="H3" s="10">
        <v>2</v>
      </c>
      <c r="I3" s="28" t="s">
        <v>208</v>
      </c>
      <c r="J3" s="7" t="s">
        <v>25</v>
      </c>
      <c r="K3" s="7"/>
      <c r="L3" s="9"/>
      <c r="M3" s="9"/>
      <c r="N3" s="9"/>
      <c r="O3" s="9"/>
      <c r="P3" s="9"/>
      <c r="Q3" s="9"/>
      <c r="R3" s="9"/>
    </row>
    <row r="4" spans="1:18" ht="16" x14ac:dyDescent="0.2">
      <c r="A4" s="9" t="s">
        <v>101</v>
      </c>
      <c r="B4" t="s">
        <v>210</v>
      </c>
      <c r="C4" s="28" t="s">
        <v>207</v>
      </c>
      <c r="D4" s="28" t="s">
        <v>25</v>
      </c>
      <c r="E4" s="7"/>
      <c r="F4" s="7"/>
      <c r="G4" s="7"/>
      <c r="H4" s="10">
        <v>3</v>
      </c>
      <c r="I4" s="28" t="s">
        <v>207</v>
      </c>
      <c r="J4" s="7" t="s">
        <v>25</v>
      </c>
      <c r="K4" s="7"/>
      <c r="L4" s="9"/>
      <c r="M4" s="9"/>
      <c r="N4" s="9"/>
      <c r="O4" s="9"/>
      <c r="P4" s="9"/>
      <c r="Q4" s="9"/>
      <c r="R4" s="9"/>
    </row>
    <row r="5" spans="1:18" ht="16" x14ac:dyDescent="0.2">
      <c r="A5" s="9" t="s">
        <v>101</v>
      </c>
      <c r="B5" t="s">
        <v>210</v>
      </c>
      <c r="C5" s="28" t="s">
        <v>96</v>
      </c>
      <c r="D5" s="28" t="s">
        <v>30</v>
      </c>
      <c r="E5" s="7"/>
      <c r="F5" s="7"/>
      <c r="G5" s="7"/>
      <c r="H5" s="10">
        <v>4</v>
      </c>
      <c r="I5" s="28" t="s">
        <v>29</v>
      </c>
      <c r="J5" s="7" t="s">
        <v>30</v>
      </c>
      <c r="K5" s="7"/>
      <c r="L5" s="9"/>
      <c r="M5" s="9"/>
      <c r="N5" s="9"/>
      <c r="O5" s="9"/>
      <c r="P5" s="9"/>
      <c r="Q5" s="9"/>
      <c r="R5" s="9"/>
    </row>
    <row r="6" spans="1:18" ht="16" x14ac:dyDescent="0.2">
      <c r="A6" s="9" t="s">
        <v>101</v>
      </c>
      <c r="B6" t="s">
        <v>210</v>
      </c>
      <c r="C6" s="28" t="s">
        <v>31</v>
      </c>
      <c r="D6" s="28" t="s">
        <v>25</v>
      </c>
      <c r="E6" s="7"/>
      <c r="F6" s="7"/>
      <c r="G6" s="7"/>
      <c r="H6" s="10">
        <v>5</v>
      </c>
      <c r="I6" s="28" t="s">
        <v>31</v>
      </c>
      <c r="J6" s="7" t="s">
        <v>25</v>
      </c>
      <c r="K6" s="7"/>
      <c r="L6" s="9"/>
      <c r="M6" s="9"/>
      <c r="N6" s="9"/>
      <c r="O6" s="9"/>
      <c r="P6" s="9"/>
      <c r="Q6" s="9"/>
      <c r="R6" s="9"/>
    </row>
    <row r="7" spans="1:18" ht="16" x14ac:dyDescent="0.2">
      <c r="A7" s="7"/>
      <c r="B7" s="7"/>
      <c r="C7" s="7"/>
      <c r="D7" s="7"/>
      <c r="E7" s="7"/>
      <c r="F7" s="7" t="s">
        <v>102</v>
      </c>
      <c r="G7" s="7"/>
      <c r="H7" s="12"/>
      <c r="I7" s="7"/>
      <c r="J7" s="7" t="str">
        <f>TRIM(Table17[[#This Row], [Staging Layer Column Name]])</f>
        <v/>
      </c>
      <c r="K7" s="7"/>
      <c r="L7" s="7"/>
      <c r="M7" s="7"/>
      <c r="N7" s="7"/>
      <c r="O7" s="7"/>
      <c r="P7" s="7"/>
      <c r="Q7" s="7"/>
      <c r="R7" s="7"/>
    </row>
    <row r="8" spans="1:18" ht="16" x14ac:dyDescent="0.2">
      <c r="A8" s="9" t="s">
        <v>101</v>
      </c>
      <c r="B8" t="s">
        <v>211</v>
      </c>
      <c r="C8" s="28" t="s">
        <v>209</v>
      </c>
      <c r="D8" s="28" t="s">
        <v>25</v>
      </c>
      <c r="E8" s="7"/>
      <c r="F8" s="7"/>
      <c r="G8" s="7"/>
      <c r="H8" s="10">
        <v>1</v>
      </c>
      <c r="I8" s="28" t="s">
        <v>209</v>
      </c>
      <c r="J8" s="7" t="s">
        <v>25</v>
      </c>
      <c r="K8" s="7"/>
      <c r="L8" s="9"/>
      <c r="M8" s="9"/>
    </row>
    <row r="9" spans="1:18" ht="16" x14ac:dyDescent="0.2">
      <c r="A9" s="9" t="s">
        <v>101</v>
      </c>
      <c r="B9" t="s">
        <v>211</v>
      </c>
      <c r="C9" s="28" t="s">
        <v>208</v>
      </c>
      <c r="D9" s="28" t="s">
        <v>25</v>
      </c>
      <c r="E9" s="7"/>
      <c r="F9" s="7"/>
      <c r="G9" s="7"/>
      <c r="H9" s="10">
        <v>2</v>
      </c>
      <c r="I9" s="28" t="s">
        <v>208</v>
      </c>
      <c r="J9" s="7" t="s">
        <v>25</v>
      </c>
      <c r="K9" s="7"/>
      <c r="L9" s="9"/>
      <c r="M9" s="9"/>
    </row>
    <row r="10" spans="1:18" ht="16" x14ac:dyDescent="0.2">
      <c r="A10" s="9" t="s">
        <v>101</v>
      </c>
      <c r="B10" t="s">
        <v>211</v>
      </c>
      <c r="C10" s="28" t="s">
        <v>207</v>
      </c>
      <c r="D10" s="28" t="s">
        <v>25</v>
      </c>
      <c r="E10" s="7"/>
      <c r="F10" s="7"/>
      <c r="G10" s="7"/>
      <c r="H10" s="10">
        <v>3</v>
      </c>
      <c r="I10" s="28" t="s">
        <v>207</v>
      </c>
      <c r="J10" s="7" t="s">
        <v>25</v>
      </c>
      <c r="K10" s="7"/>
      <c r="L10" s="9"/>
      <c r="M10" s="9"/>
    </row>
    <row r="11" spans="1:18" ht="16" x14ac:dyDescent="0.2">
      <c r="A11" s="9" t="s">
        <v>101</v>
      </c>
      <c r="B11" t="s">
        <v>211</v>
      </c>
      <c r="C11" s="28" t="s">
        <v>96</v>
      </c>
      <c r="D11" s="28" t="s">
        <v>30</v>
      </c>
      <c r="E11" s="7"/>
      <c r="F11" s="7"/>
      <c r="G11" s="7"/>
      <c r="H11" s="10">
        <v>4</v>
      </c>
      <c r="I11" s="28" t="s">
        <v>29</v>
      </c>
      <c r="J11" s="7" t="s">
        <v>30</v>
      </c>
      <c r="K11" s="7"/>
      <c r="L11" s="9"/>
      <c r="M11" s="9"/>
    </row>
    <row r="12" spans="1:18" ht="16" x14ac:dyDescent="0.2">
      <c r="A12" s="9" t="s">
        <v>101</v>
      </c>
      <c r="B12" t="s">
        <v>211</v>
      </c>
      <c r="C12" s="28" t="s">
        <v>31</v>
      </c>
      <c r="D12" s="28" t="s">
        <v>25</v>
      </c>
      <c r="E12" s="7"/>
      <c r="F12" s="7"/>
      <c r="G12" s="7"/>
      <c r="H12" s="10">
        <v>5</v>
      </c>
      <c r="I12" s="28" t="s">
        <v>31</v>
      </c>
      <c r="J12" s="7" t="s">
        <v>25</v>
      </c>
      <c r="K12" s="7"/>
      <c r="L12" s="9"/>
      <c r="M12" s="9"/>
    </row>
    <row r="13" spans="1:18" x14ac:dyDescent="0.2">
      <c r="F13" t="s">
        <v>102</v>
      </c>
    </row>
    <row r="14" spans="1:18" ht="16" x14ac:dyDescent="0.2">
      <c r="A14" s="9" t="s">
        <v>101</v>
      </c>
      <c r="B14" t="s">
        <v>212</v>
      </c>
      <c r="C14" s="28" t="s">
        <v>209</v>
      </c>
      <c r="D14" s="28" t="s">
        <v>25</v>
      </c>
      <c r="E14" s="7"/>
      <c r="F14" s="7"/>
      <c r="G14" s="7"/>
      <c r="H14" s="10">
        <v>1</v>
      </c>
      <c r="I14" s="28" t="s">
        <v>209</v>
      </c>
      <c r="J14" s="7" t="s">
        <v>25</v>
      </c>
      <c r="K14" s="7"/>
      <c r="L14" s="9"/>
      <c r="M14" s="9"/>
    </row>
    <row r="15" spans="1:18" ht="16" x14ac:dyDescent="0.2">
      <c r="A15" s="9" t="s">
        <v>101</v>
      </c>
      <c r="B15" t="s">
        <v>212</v>
      </c>
      <c r="C15" s="28" t="s">
        <v>208</v>
      </c>
      <c r="D15" s="28" t="s">
        <v>25</v>
      </c>
      <c r="E15" s="7"/>
      <c r="F15" s="7"/>
      <c r="G15" s="7"/>
      <c r="H15" s="10">
        <v>2</v>
      </c>
      <c r="I15" s="28" t="s">
        <v>208</v>
      </c>
      <c r="J15" s="7" t="s">
        <v>25</v>
      </c>
      <c r="K15" s="7"/>
      <c r="L15" s="9"/>
      <c r="M15" s="9"/>
    </row>
    <row r="16" spans="1:18" ht="16" x14ac:dyDescent="0.2">
      <c r="A16" s="9" t="s">
        <v>101</v>
      </c>
      <c r="B16" t="s">
        <v>212</v>
      </c>
      <c r="C16" s="28" t="s">
        <v>207</v>
      </c>
      <c r="D16" s="28" t="s">
        <v>25</v>
      </c>
      <c r="E16" s="7"/>
      <c r="F16" s="7"/>
      <c r="G16" s="7"/>
      <c r="H16" s="10">
        <v>3</v>
      </c>
      <c r="I16" s="28" t="s">
        <v>207</v>
      </c>
      <c r="J16" s="7" t="s">
        <v>25</v>
      </c>
      <c r="K16" s="7"/>
      <c r="L16" s="9"/>
      <c r="M16" s="9"/>
    </row>
    <row r="17" spans="1:13" ht="16" x14ac:dyDescent="0.2">
      <c r="A17" s="9" t="s">
        <v>101</v>
      </c>
      <c r="B17" t="s">
        <v>212</v>
      </c>
      <c r="C17" s="28" t="s">
        <v>96</v>
      </c>
      <c r="D17" s="28" t="s">
        <v>30</v>
      </c>
      <c r="E17" s="7"/>
      <c r="F17" s="7"/>
      <c r="G17" s="7"/>
      <c r="H17" s="10">
        <v>4</v>
      </c>
      <c r="I17" s="28" t="s">
        <v>29</v>
      </c>
      <c r="J17" s="7" t="s">
        <v>30</v>
      </c>
      <c r="K17" s="7"/>
      <c r="L17" s="9"/>
      <c r="M17" s="9"/>
    </row>
    <row r="18" spans="1:13" ht="16" x14ac:dyDescent="0.2">
      <c r="A18" s="9" t="s">
        <v>101</v>
      </c>
      <c r="B18" t="s">
        <v>212</v>
      </c>
      <c r="C18" s="28" t="s">
        <v>31</v>
      </c>
      <c r="D18" s="28" t="s">
        <v>25</v>
      </c>
      <c r="E18" s="7"/>
      <c r="F18" s="7"/>
      <c r="G18" s="7"/>
      <c r="H18" s="10">
        <v>5</v>
      </c>
      <c r="I18" s="28" t="s">
        <v>31</v>
      </c>
      <c r="J18" s="7" t="s">
        <v>25</v>
      </c>
      <c r="K18" s="7"/>
      <c r="L18" s="9"/>
      <c r="M18" s="9"/>
    </row>
    <row r="19" spans="1:13" x14ac:dyDescent="0.2">
      <c r="F19" t="s">
        <v>102</v>
      </c>
    </row>
    <row r="20" spans="1:13" ht="16" x14ac:dyDescent="0.2">
      <c r="A20" s="9" t="s">
        <v>101</v>
      </c>
      <c r="B20" t="s">
        <v>297</v>
      </c>
      <c r="C20" s="28" t="s">
        <v>209</v>
      </c>
      <c r="D20" s="28" t="s">
        <v>25</v>
      </c>
      <c r="E20" s="7"/>
      <c r="F20" s="7"/>
      <c r="G20" s="7"/>
      <c r="H20" s="10">
        <v>1</v>
      </c>
      <c r="I20" s="28" t="s">
        <v>209</v>
      </c>
      <c r="J20" s="7" t="s">
        <v>25</v>
      </c>
      <c r="K20" s="7"/>
      <c r="L20" s="18"/>
      <c r="M20" s="18"/>
    </row>
    <row r="21" spans="1:13" ht="16" x14ac:dyDescent="0.2">
      <c r="A21" s="9" t="s">
        <v>101</v>
      </c>
      <c r="B21" t="s">
        <v>297</v>
      </c>
      <c r="C21" s="28" t="s">
        <v>208</v>
      </c>
      <c r="D21" s="28" t="s">
        <v>25</v>
      </c>
      <c r="E21" s="7"/>
      <c r="F21" s="7"/>
      <c r="G21" s="7"/>
      <c r="H21" s="10">
        <v>2</v>
      </c>
      <c r="I21" s="28" t="s">
        <v>208</v>
      </c>
      <c r="J21" s="7" t="s">
        <v>25</v>
      </c>
      <c r="K21" s="7"/>
      <c r="L21" s="21"/>
      <c r="M21" s="21"/>
    </row>
    <row r="22" spans="1:13" ht="16" x14ac:dyDescent="0.2">
      <c r="A22" s="9" t="s">
        <v>101</v>
      </c>
      <c r="B22" t="s">
        <v>297</v>
      </c>
      <c r="C22" s="28" t="s">
        <v>207</v>
      </c>
      <c r="D22" s="28" t="s">
        <v>25</v>
      </c>
      <c r="E22" s="7"/>
      <c r="F22" s="7"/>
      <c r="G22" s="7"/>
      <c r="H22" s="10">
        <v>3</v>
      </c>
      <c r="I22" s="28" t="s">
        <v>207</v>
      </c>
      <c r="J22" s="7" t="s">
        <v>25</v>
      </c>
      <c r="K22" s="7"/>
      <c r="L22" s="18"/>
      <c r="M22" s="18"/>
    </row>
    <row r="23" spans="1:13" ht="16" x14ac:dyDescent="0.2">
      <c r="A23" s="9" t="s">
        <v>101</v>
      </c>
      <c r="B23" t="s">
        <v>297</v>
      </c>
      <c r="C23" s="28" t="s">
        <v>29</v>
      </c>
      <c r="D23" s="28" t="s">
        <v>30</v>
      </c>
      <c r="E23" s="7"/>
      <c r="F23" s="7"/>
      <c r="G23" s="7"/>
      <c r="H23" s="10">
        <v>4</v>
      </c>
      <c r="I23" s="28" t="s">
        <v>29</v>
      </c>
      <c r="J23" s="7" t="s">
        <v>30</v>
      </c>
      <c r="K23" s="7"/>
      <c r="L23" s="26"/>
      <c r="M23" s="26"/>
    </row>
    <row r="24" spans="1:13" ht="16" x14ac:dyDescent="0.2">
      <c r="A24" s="9" t="s">
        <v>101</v>
      </c>
      <c r="B24" t="s">
        <v>297</v>
      </c>
      <c r="C24" s="28" t="s">
        <v>31</v>
      </c>
      <c r="D24" s="28" t="s">
        <v>25</v>
      </c>
      <c r="E24" s="7"/>
      <c r="F24" s="7"/>
      <c r="G24" s="7"/>
      <c r="H24" s="10">
        <v>5</v>
      </c>
      <c r="I24" s="28" t="s">
        <v>31</v>
      </c>
      <c r="J24" s="7" t="s">
        <v>25</v>
      </c>
      <c r="K24" s="7"/>
    </row>
    <row r="25" spans="1:13" x14ac:dyDescent="0.2">
      <c r="F25" t="s">
        <v>102</v>
      </c>
    </row>
    <row r="26" spans="1:13" ht="16" x14ac:dyDescent="0.2">
      <c r="A26" s="40" t="s">
        <v>101</v>
      </c>
      <c r="B26" t="s">
        <v>299</v>
      </c>
      <c r="C26" s="41" t="s">
        <v>209</v>
      </c>
      <c r="D26" s="41" t="s">
        <v>25</v>
      </c>
      <c r="E26" s="19"/>
      <c r="F26" s="19"/>
      <c r="G26" s="19"/>
      <c r="H26" s="20">
        <v>1</v>
      </c>
      <c r="I26" s="41" t="s">
        <v>209</v>
      </c>
      <c r="J26" s="19" t="s">
        <v>25</v>
      </c>
      <c r="K26" s="60"/>
    </row>
    <row r="27" spans="1:13" ht="16" x14ac:dyDescent="0.2">
      <c r="A27" s="42" t="s">
        <v>101</v>
      </c>
      <c r="B27" t="s">
        <v>299</v>
      </c>
      <c r="C27" s="43" t="s">
        <v>208</v>
      </c>
      <c r="D27" s="43" t="s">
        <v>25</v>
      </c>
      <c r="E27" s="22"/>
      <c r="F27" s="22"/>
      <c r="G27" s="22"/>
      <c r="H27" s="23">
        <v>2</v>
      </c>
      <c r="I27" s="43" t="s">
        <v>208</v>
      </c>
      <c r="J27" s="22" t="s">
        <v>25</v>
      </c>
      <c r="K27" s="7"/>
    </row>
    <row r="28" spans="1:13" ht="16" x14ac:dyDescent="0.2">
      <c r="A28" s="40" t="s">
        <v>101</v>
      </c>
      <c r="B28" t="s">
        <v>299</v>
      </c>
      <c r="C28" s="41" t="s">
        <v>207</v>
      </c>
      <c r="D28" s="41" t="s">
        <v>25</v>
      </c>
      <c r="E28" s="19"/>
      <c r="F28" s="19"/>
      <c r="G28" s="19"/>
      <c r="H28" s="20">
        <v>3</v>
      </c>
      <c r="I28" s="41" t="s">
        <v>207</v>
      </c>
      <c r="J28" s="19" t="s">
        <v>25</v>
      </c>
      <c r="K28" s="60"/>
    </row>
    <row r="29" spans="1:13" ht="16" x14ac:dyDescent="0.2">
      <c r="A29" s="42" t="s">
        <v>101</v>
      </c>
      <c r="B29" t="s">
        <v>299</v>
      </c>
      <c r="C29" s="43" t="s">
        <v>29</v>
      </c>
      <c r="D29" s="43" t="s">
        <v>30</v>
      </c>
      <c r="E29" s="22"/>
      <c r="F29" s="22"/>
      <c r="G29" s="22"/>
      <c r="H29" s="23">
        <v>4</v>
      </c>
      <c r="I29" s="43" t="s">
        <v>29</v>
      </c>
      <c r="J29" s="22" t="s">
        <v>30</v>
      </c>
      <c r="K29" s="7"/>
    </row>
    <row r="30" spans="1:13" ht="16" x14ac:dyDescent="0.2">
      <c r="A30" s="44" t="s">
        <v>101</v>
      </c>
      <c r="B30" t="s">
        <v>299</v>
      </c>
      <c r="C30" s="45" t="s">
        <v>31</v>
      </c>
      <c r="D30" s="45" t="s">
        <v>25</v>
      </c>
      <c r="E30" s="46"/>
      <c r="F30" s="46"/>
      <c r="G30" s="46"/>
      <c r="H30" s="47">
        <v>5</v>
      </c>
      <c r="I30" s="45" t="s">
        <v>31</v>
      </c>
      <c r="J30" s="46" t="s">
        <v>25</v>
      </c>
      <c r="K30" s="60"/>
    </row>
  </sheetData>
  <phoneticPr fontId="2" type="noConversion"/>
  <pageMargins left="0.7" right="0.7" top="0.75" bottom="0.75" header="0.3" footer="0.3"/>
  <pageSetup orientation="portrait" verticalDpi="599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92107-762E-4F96-817E-F6EC788FE089}">
  <sheetPr codeName="Sheet15">
    <tabColor theme="7" tint="0.39997558519241921"/>
  </sheetPr>
  <dimension ref="A1:I2"/>
  <sheetViews>
    <sheetView workbookViewId="0">
      <selection activeCell="E1" sqref="E1:E2"/>
    </sheetView>
  </sheetViews>
  <sheetFormatPr baseColWidth="10" defaultColWidth="9.1640625" defaultRowHeight="15" x14ac:dyDescent="0.2"/>
  <cols>
    <col min="1" max="1" width="11.6640625" customWidth="1"/>
    <col min="2" max="2" width="36.5" bestFit="1" customWidth="1"/>
    <col min="3" max="3" width="10.83203125" customWidth="1"/>
    <col min="4" max="4" width="18.5" bestFit="1" customWidth="1"/>
    <col min="5" max="5" width="47" customWidth="1"/>
    <col min="6" max="6" width="11.33203125" customWidth="1"/>
    <col min="7" max="7" width="27.5" customWidth="1"/>
    <col min="8" max="8" width="21.5" customWidth="1"/>
    <col min="9" max="9" width="11.5" customWidth="1"/>
  </cols>
  <sheetData>
    <row r="1" spans="1:9" s="1" customFormat="1" ht="32" x14ac:dyDescent="0.2">
      <c r="A1" s="1" t="s">
        <v>0</v>
      </c>
      <c r="B1" s="1" t="s">
        <v>1</v>
      </c>
      <c r="C1" s="1" t="s">
        <v>2</v>
      </c>
      <c r="D1" s="1" t="s">
        <v>3</v>
      </c>
      <c r="E1" s="61" t="s">
        <v>549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ht="128" x14ac:dyDescent="0.2">
      <c r="A2" t="s">
        <v>101</v>
      </c>
      <c r="B2" s="27" t="s">
        <v>108</v>
      </c>
      <c r="C2" t="s">
        <v>210</v>
      </c>
      <c r="D2" t="s">
        <v>551</v>
      </c>
      <c r="E2" s="1" t="s">
        <v>552</v>
      </c>
      <c r="F2">
        <v>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C84A4-5C37-4523-B74A-21137B610EE4}">
  <sheetPr codeName="Sheet16">
    <tabColor theme="7" tint="0.39997558519241921"/>
  </sheetPr>
  <dimension ref="A1:S42"/>
  <sheetViews>
    <sheetView topLeftCell="G1" zoomScale="130" zoomScaleNormal="130" workbookViewId="0">
      <selection activeCell="L10" sqref="L10"/>
    </sheetView>
  </sheetViews>
  <sheetFormatPr baseColWidth="10" defaultColWidth="9.1640625" defaultRowHeight="15" x14ac:dyDescent="0.2"/>
  <cols>
    <col min="1" max="1" width="14.83203125" customWidth="1"/>
    <col min="2" max="2" width="13" customWidth="1"/>
    <col min="3" max="3" width="24.1640625" customWidth="1"/>
    <col min="4" max="4" width="16.83203125" customWidth="1"/>
    <col min="5" max="5" width="16.83203125" style="1" bestFit="1" customWidth="1"/>
    <col min="6" max="6" width="22.5" bestFit="1" customWidth="1"/>
    <col min="7" max="7" width="14.83203125" customWidth="1"/>
    <col min="8" max="8" width="9" bestFit="1" customWidth="1"/>
    <col min="9" max="9" width="25.1640625" bestFit="1" customWidth="1"/>
    <col min="10" max="10" width="20.5" customWidth="1"/>
    <col min="11" max="11" width="19.1640625" customWidth="1"/>
    <col min="12" max="12" width="20.83203125" customWidth="1"/>
    <col min="13" max="13" width="10" bestFit="1" customWidth="1"/>
    <col min="14" max="14" width="34.33203125" customWidth="1"/>
    <col min="15" max="15" width="17.5" customWidth="1"/>
    <col min="16" max="16" width="11.6640625" customWidth="1"/>
    <col min="17" max="17" width="14.83203125" customWidth="1"/>
    <col min="18" max="18" width="15.6640625" customWidth="1"/>
    <col min="19" max="19" width="25.83203125" bestFit="1" customWidth="1"/>
  </cols>
  <sheetData>
    <row r="1" spans="1:19" s="1" customFormat="1" ht="16" x14ac:dyDescent="0.2">
      <c r="A1" s="1" t="s">
        <v>0</v>
      </c>
      <c r="B1" s="1" t="s">
        <v>1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559</v>
      </c>
      <c r="L1" s="1" t="s">
        <v>17</v>
      </c>
      <c r="M1" s="1" t="s">
        <v>18</v>
      </c>
      <c r="N1" s="1" t="s">
        <v>565</v>
      </c>
      <c r="O1" s="1" t="s">
        <v>19</v>
      </c>
      <c r="P1" s="1" t="s">
        <v>20</v>
      </c>
      <c r="Q1" s="1" t="s">
        <v>21</v>
      </c>
      <c r="R1" s="1" t="s">
        <v>22</v>
      </c>
      <c r="S1" s="1" t="s">
        <v>104</v>
      </c>
    </row>
    <row r="2" spans="1:19" ht="176" x14ac:dyDescent="0.2">
      <c r="A2" t="s">
        <v>101</v>
      </c>
      <c r="B2" t="s">
        <v>210</v>
      </c>
      <c r="C2" s="28" t="s">
        <v>209</v>
      </c>
      <c r="D2" s="28" t="s">
        <v>25</v>
      </c>
      <c r="E2" s="7"/>
      <c r="F2" s="7"/>
      <c r="G2" s="7"/>
      <c r="H2" s="10">
        <v>1</v>
      </c>
      <c r="I2" s="28" t="s">
        <v>209</v>
      </c>
      <c r="J2" s="28" t="s">
        <v>25</v>
      </c>
      <c r="K2" s="1" t="s">
        <v>564</v>
      </c>
      <c r="L2" s="1" t="s">
        <v>492</v>
      </c>
      <c r="M2" t="s">
        <v>26</v>
      </c>
      <c r="N2" s="9" t="s">
        <v>537</v>
      </c>
      <c r="P2" s="10"/>
      <c r="S2" t="s">
        <v>512</v>
      </c>
    </row>
    <row r="3" spans="1:19" x14ac:dyDescent="0.2">
      <c r="A3" t="s">
        <v>101</v>
      </c>
      <c r="B3" t="s">
        <v>210</v>
      </c>
      <c r="C3" s="28" t="s">
        <v>106</v>
      </c>
      <c r="D3" s="28" t="s">
        <v>25</v>
      </c>
      <c r="E3" s="7"/>
      <c r="F3" s="8"/>
      <c r="G3" s="7"/>
      <c r="H3" s="10">
        <v>2</v>
      </c>
      <c r="I3" s="28" t="s">
        <v>491</v>
      </c>
      <c r="J3" s="28" t="s">
        <v>25</v>
      </c>
      <c r="M3" t="s">
        <v>26</v>
      </c>
      <c r="P3" s="10"/>
    </row>
    <row r="4" spans="1:19" x14ac:dyDescent="0.2">
      <c r="A4" t="s">
        <v>101</v>
      </c>
      <c r="B4" t="s">
        <v>210</v>
      </c>
      <c r="C4" s="28" t="s">
        <v>117</v>
      </c>
      <c r="D4" s="28" t="s">
        <v>25</v>
      </c>
      <c r="E4" s="7"/>
      <c r="F4" s="8"/>
      <c r="G4" s="7"/>
      <c r="H4" s="10">
        <v>3</v>
      </c>
      <c r="I4" s="28" t="s">
        <v>117</v>
      </c>
      <c r="J4" s="28" t="s">
        <v>25</v>
      </c>
      <c r="P4" s="10"/>
    </row>
    <row r="5" spans="1:19" x14ac:dyDescent="0.2">
      <c r="A5" t="s">
        <v>101</v>
      </c>
      <c r="B5" t="s">
        <v>210</v>
      </c>
      <c r="C5" s="28" t="s">
        <v>115</v>
      </c>
      <c r="D5" s="28" t="s">
        <v>195</v>
      </c>
      <c r="E5" s="7"/>
      <c r="F5" s="8"/>
      <c r="G5" s="7"/>
      <c r="H5" s="10">
        <v>4</v>
      </c>
      <c r="I5" s="28" t="s">
        <v>115</v>
      </c>
      <c r="J5" s="28" t="s">
        <v>195</v>
      </c>
      <c r="P5" s="10"/>
    </row>
    <row r="6" spans="1:19" x14ac:dyDescent="0.2">
      <c r="A6" t="s">
        <v>101</v>
      </c>
      <c r="B6" t="s">
        <v>210</v>
      </c>
      <c r="C6" s="28" t="s">
        <v>116</v>
      </c>
      <c r="D6" s="28" t="s">
        <v>195</v>
      </c>
      <c r="E6" s="7"/>
      <c r="F6" s="13"/>
      <c r="G6" s="14"/>
      <c r="H6" s="10">
        <v>5</v>
      </c>
      <c r="I6" s="28" t="s">
        <v>116</v>
      </c>
      <c r="J6" s="28" t="s">
        <v>195</v>
      </c>
      <c r="P6" s="10"/>
    </row>
    <row r="7" spans="1:19" x14ac:dyDescent="0.2">
      <c r="A7" t="s">
        <v>101</v>
      </c>
      <c r="B7" t="s">
        <v>210</v>
      </c>
      <c r="C7" s="28" t="s">
        <v>100</v>
      </c>
      <c r="D7" s="28" t="s">
        <v>27</v>
      </c>
      <c r="E7" s="7"/>
      <c r="F7" s="13"/>
      <c r="G7" s="14"/>
      <c r="H7" s="10">
        <v>6</v>
      </c>
      <c r="I7" s="28" t="s">
        <v>100</v>
      </c>
      <c r="J7" s="28" t="s">
        <v>27</v>
      </c>
      <c r="P7" s="10"/>
    </row>
    <row r="8" spans="1:19" x14ac:dyDescent="0.2">
      <c r="A8" t="s">
        <v>101</v>
      </c>
      <c r="B8" t="s">
        <v>210</v>
      </c>
      <c r="C8" s="28" t="s">
        <v>89</v>
      </c>
      <c r="D8" s="28" t="s">
        <v>195</v>
      </c>
      <c r="E8" s="7"/>
      <c r="F8" s="13"/>
      <c r="G8" s="14"/>
      <c r="H8" s="10">
        <v>7</v>
      </c>
      <c r="I8" s="28" t="s">
        <v>89</v>
      </c>
      <c r="J8" s="28" t="s">
        <v>195</v>
      </c>
      <c r="P8" s="10"/>
    </row>
    <row r="9" spans="1:19" x14ac:dyDescent="0.2">
      <c r="A9" t="s">
        <v>101</v>
      </c>
      <c r="B9" t="s">
        <v>210</v>
      </c>
      <c r="C9" s="28" t="s">
        <v>99</v>
      </c>
      <c r="D9" s="28" t="s">
        <v>27</v>
      </c>
      <c r="E9" s="7"/>
      <c r="F9" s="8"/>
      <c r="G9" s="14"/>
      <c r="H9" s="10">
        <v>8</v>
      </c>
      <c r="I9" s="28" t="s">
        <v>99</v>
      </c>
      <c r="J9" s="28" t="s">
        <v>27</v>
      </c>
      <c r="P9" s="10"/>
    </row>
    <row r="10" spans="1:19" x14ac:dyDescent="0.2">
      <c r="A10" t="s">
        <v>101</v>
      </c>
      <c r="B10" t="s">
        <v>210</v>
      </c>
      <c r="C10" s="28" t="s">
        <v>92</v>
      </c>
      <c r="D10" s="28" t="s">
        <v>195</v>
      </c>
      <c r="E10" s="7"/>
      <c r="F10" s="8"/>
      <c r="G10" s="14"/>
      <c r="H10" s="10">
        <v>9</v>
      </c>
      <c r="I10" s="28" t="s">
        <v>92</v>
      </c>
      <c r="J10" s="28" t="s">
        <v>195</v>
      </c>
      <c r="P10" s="10"/>
    </row>
    <row r="11" spans="1:19" x14ac:dyDescent="0.2">
      <c r="A11" t="s">
        <v>101</v>
      </c>
      <c r="B11" t="s">
        <v>210</v>
      </c>
      <c r="C11" s="28" t="s">
        <v>86</v>
      </c>
      <c r="D11" s="28" t="s">
        <v>195</v>
      </c>
      <c r="E11" s="7"/>
      <c r="F11" s="8"/>
      <c r="G11" s="14"/>
      <c r="H11" s="10">
        <v>10</v>
      </c>
      <c r="I11" s="28" t="s">
        <v>86</v>
      </c>
      <c r="J11" s="28" t="s">
        <v>195</v>
      </c>
      <c r="P11" s="10"/>
    </row>
    <row r="12" spans="1:19" x14ac:dyDescent="0.2">
      <c r="A12" t="s">
        <v>101</v>
      </c>
      <c r="B12" t="s">
        <v>210</v>
      </c>
      <c r="C12" s="28" t="s">
        <v>93</v>
      </c>
      <c r="D12" s="28" t="s">
        <v>195</v>
      </c>
      <c r="E12" s="7"/>
      <c r="F12" s="13"/>
      <c r="G12" s="14"/>
      <c r="H12" s="10">
        <v>11</v>
      </c>
      <c r="I12" s="28" t="s">
        <v>93</v>
      </c>
      <c r="J12" s="28" t="s">
        <v>195</v>
      </c>
      <c r="P12" s="15"/>
    </row>
    <row r="13" spans="1:19" x14ac:dyDescent="0.2">
      <c r="A13" t="s">
        <v>101</v>
      </c>
      <c r="B13" t="s">
        <v>210</v>
      </c>
      <c r="C13" s="28" t="s">
        <v>85</v>
      </c>
      <c r="D13" s="28" t="s">
        <v>195</v>
      </c>
      <c r="E13" s="7"/>
      <c r="F13" s="13"/>
      <c r="G13" s="14"/>
      <c r="H13" s="10">
        <v>12</v>
      </c>
      <c r="I13" s="28" t="s">
        <v>85</v>
      </c>
      <c r="J13" s="28" t="s">
        <v>195</v>
      </c>
      <c r="P13" s="10"/>
    </row>
    <row r="14" spans="1:19" x14ac:dyDescent="0.2">
      <c r="A14" t="s">
        <v>101</v>
      </c>
      <c r="B14" t="s">
        <v>210</v>
      </c>
      <c r="C14" s="28" t="s">
        <v>88</v>
      </c>
      <c r="D14" s="28" t="s">
        <v>195</v>
      </c>
      <c r="E14" s="7"/>
      <c r="F14" s="13"/>
      <c r="G14" s="14"/>
      <c r="H14" s="10">
        <v>13</v>
      </c>
      <c r="I14" s="28" t="s">
        <v>88</v>
      </c>
      <c r="J14" s="28" t="s">
        <v>195</v>
      </c>
      <c r="P14" s="10"/>
    </row>
    <row r="15" spans="1:19" x14ac:dyDescent="0.2">
      <c r="A15" t="s">
        <v>101</v>
      </c>
      <c r="B15" t="s">
        <v>210</v>
      </c>
      <c r="C15" s="28" t="s">
        <v>98</v>
      </c>
      <c r="D15" s="28" t="s">
        <v>27</v>
      </c>
      <c r="E15" s="7"/>
      <c r="F15" s="8"/>
      <c r="G15" s="14"/>
      <c r="H15" s="10">
        <v>14</v>
      </c>
      <c r="I15" s="28" t="s">
        <v>98</v>
      </c>
      <c r="J15" s="28" t="s">
        <v>27</v>
      </c>
      <c r="P15" s="10"/>
    </row>
    <row r="16" spans="1:19" x14ac:dyDescent="0.2">
      <c r="A16" t="s">
        <v>101</v>
      </c>
      <c r="B16" t="s">
        <v>210</v>
      </c>
      <c r="C16" s="28" t="s">
        <v>35</v>
      </c>
      <c r="D16" s="28" t="s">
        <v>25</v>
      </c>
      <c r="E16" s="7"/>
      <c r="F16" s="8"/>
      <c r="G16" s="7"/>
      <c r="H16" s="10">
        <v>15</v>
      </c>
      <c r="I16" s="28" t="s">
        <v>35</v>
      </c>
      <c r="J16" s="28" t="s">
        <v>25</v>
      </c>
      <c r="P16" s="10"/>
    </row>
    <row r="17" spans="1:16" x14ac:dyDescent="0.2">
      <c r="A17" t="s">
        <v>101</v>
      </c>
      <c r="B17" t="s">
        <v>210</v>
      </c>
      <c r="C17" s="28" t="s">
        <v>34</v>
      </c>
      <c r="D17" s="28" t="s">
        <v>25</v>
      </c>
      <c r="E17" s="7"/>
      <c r="F17" s="8"/>
      <c r="G17" s="7"/>
      <c r="H17" s="10">
        <v>16</v>
      </c>
      <c r="I17" s="28" t="s">
        <v>34</v>
      </c>
      <c r="J17" s="28" t="s">
        <v>25</v>
      </c>
      <c r="P17" s="10"/>
    </row>
    <row r="18" spans="1:16" x14ac:dyDescent="0.2">
      <c r="A18" t="s">
        <v>101</v>
      </c>
      <c r="B18" t="s">
        <v>210</v>
      </c>
      <c r="C18" s="28" t="s">
        <v>33</v>
      </c>
      <c r="D18" s="28" t="s">
        <v>25</v>
      </c>
      <c r="E18" s="7"/>
      <c r="F18" s="8"/>
      <c r="G18" s="7"/>
      <c r="H18" s="10">
        <v>17</v>
      </c>
      <c r="I18" s="28" t="s">
        <v>33</v>
      </c>
      <c r="J18" s="28" t="s">
        <v>25</v>
      </c>
      <c r="P18" s="10"/>
    </row>
    <row r="19" spans="1:16" x14ac:dyDescent="0.2">
      <c r="A19" t="s">
        <v>101</v>
      </c>
      <c r="B19" t="s">
        <v>210</v>
      </c>
      <c r="C19" s="28" t="s">
        <v>41</v>
      </c>
      <c r="D19" s="28" t="s">
        <v>25</v>
      </c>
      <c r="E19" s="7"/>
      <c r="F19" s="8"/>
      <c r="G19" s="8"/>
      <c r="H19" s="10">
        <v>18</v>
      </c>
      <c r="I19" s="28" t="s">
        <v>41</v>
      </c>
      <c r="J19" s="28" t="s">
        <v>25</v>
      </c>
      <c r="P19" s="10"/>
    </row>
    <row r="20" spans="1:16" x14ac:dyDescent="0.2">
      <c r="A20" t="s">
        <v>101</v>
      </c>
      <c r="B20" t="s">
        <v>210</v>
      </c>
      <c r="C20" s="28" t="s">
        <v>43</v>
      </c>
      <c r="D20" s="28" t="s">
        <v>25</v>
      </c>
      <c r="E20" s="7"/>
      <c r="F20" s="8"/>
      <c r="G20" s="7"/>
      <c r="H20" s="10">
        <v>19</v>
      </c>
      <c r="I20" s="28" t="s">
        <v>43</v>
      </c>
      <c r="J20" s="28" t="s">
        <v>25</v>
      </c>
      <c r="P20" s="10"/>
    </row>
    <row r="21" spans="1:16" x14ac:dyDescent="0.2">
      <c r="A21" t="s">
        <v>101</v>
      </c>
      <c r="B21" t="s">
        <v>210</v>
      </c>
      <c r="C21" s="28" t="s">
        <v>47</v>
      </c>
      <c r="D21" s="28" t="s">
        <v>25</v>
      </c>
      <c r="E21" s="7"/>
      <c r="F21" s="8"/>
      <c r="G21" s="7"/>
      <c r="H21" s="10">
        <f>H20+1</f>
        <v>20</v>
      </c>
      <c r="I21" s="28" t="s">
        <v>47</v>
      </c>
      <c r="J21" s="28" t="s">
        <v>25</v>
      </c>
      <c r="P21" s="10"/>
    </row>
    <row r="22" spans="1:16" x14ac:dyDescent="0.2">
      <c r="A22" t="s">
        <v>101</v>
      </c>
      <c r="B22" t="s">
        <v>210</v>
      </c>
      <c r="C22" s="28" t="s">
        <v>45</v>
      </c>
      <c r="D22" s="28" t="s">
        <v>25</v>
      </c>
      <c r="E22" s="7"/>
      <c r="F22" s="8"/>
      <c r="G22" s="7"/>
      <c r="H22" s="10">
        <f t="shared" ref="H22:H41" si="0">H21+1</f>
        <v>21</v>
      </c>
      <c r="I22" s="28" t="s">
        <v>45</v>
      </c>
      <c r="J22" s="28" t="s">
        <v>25</v>
      </c>
      <c r="P22" s="10"/>
    </row>
    <row r="23" spans="1:16" x14ac:dyDescent="0.2">
      <c r="A23" t="s">
        <v>101</v>
      </c>
      <c r="B23" t="s">
        <v>210</v>
      </c>
      <c r="C23" s="28" t="s">
        <v>56</v>
      </c>
      <c r="D23" s="28" t="s">
        <v>25</v>
      </c>
      <c r="E23" s="7"/>
      <c r="F23" s="8"/>
      <c r="G23" s="7"/>
      <c r="H23" s="10">
        <f t="shared" si="0"/>
        <v>22</v>
      </c>
      <c r="I23" s="28" t="s">
        <v>56</v>
      </c>
      <c r="J23" s="28" t="s">
        <v>25</v>
      </c>
      <c r="P23" s="10"/>
    </row>
    <row r="24" spans="1:16" x14ac:dyDescent="0.2">
      <c r="A24" t="s">
        <v>101</v>
      </c>
      <c r="B24" t="s">
        <v>210</v>
      </c>
      <c r="C24" s="28" t="s">
        <v>55</v>
      </c>
      <c r="D24" s="28" t="s">
        <v>25</v>
      </c>
      <c r="E24" s="7"/>
      <c r="F24" s="8"/>
      <c r="G24" s="7"/>
      <c r="H24" s="10">
        <f t="shared" si="0"/>
        <v>23</v>
      </c>
      <c r="I24" s="28" t="s">
        <v>55</v>
      </c>
      <c r="J24" s="28" t="s">
        <v>25</v>
      </c>
      <c r="P24" s="10"/>
    </row>
    <row r="25" spans="1:16" x14ac:dyDescent="0.2">
      <c r="A25" t="s">
        <v>101</v>
      </c>
      <c r="B25" t="s">
        <v>210</v>
      </c>
      <c r="C25" s="28" t="s">
        <v>54</v>
      </c>
      <c r="D25" s="28" t="s">
        <v>25</v>
      </c>
      <c r="E25" s="7"/>
      <c r="F25" s="8"/>
      <c r="G25" s="7"/>
      <c r="H25" s="10">
        <f t="shared" si="0"/>
        <v>24</v>
      </c>
      <c r="I25" s="28" t="s">
        <v>54</v>
      </c>
      <c r="J25" s="28" t="s">
        <v>25</v>
      </c>
      <c r="P25" s="10"/>
    </row>
    <row r="26" spans="1:16" x14ac:dyDescent="0.2">
      <c r="A26" t="s">
        <v>101</v>
      </c>
      <c r="B26" t="s">
        <v>210</v>
      </c>
      <c r="C26" s="28" t="s">
        <v>57</v>
      </c>
      <c r="D26" s="28" t="s">
        <v>25</v>
      </c>
      <c r="E26" s="7"/>
      <c r="F26" s="8"/>
      <c r="G26" s="7"/>
      <c r="H26" s="10">
        <f t="shared" si="0"/>
        <v>25</v>
      </c>
      <c r="I26" s="28" t="s">
        <v>57</v>
      </c>
      <c r="J26" s="28" t="s">
        <v>25</v>
      </c>
      <c r="P26" s="10"/>
    </row>
    <row r="27" spans="1:16" x14ac:dyDescent="0.2">
      <c r="A27" t="s">
        <v>101</v>
      </c>
      <c r="B27" t="s">
        <v>210</v>
      </c>
      <c r="C27" s="28" t="s">
        <v>49</v>
      </c>
      <c r="D27" s="28" t="s">
        <v>25</v>
      </c>
      <c r="E27" s="7"/>
      <c r="F27" s="8"/>
      <c r="G27" s="7"/>
      <c r="H27" s="10">
        <f t="shared" si="0"/>
        <v>26</v>
      </c>
      <c r="I27" s="28" t="s">
        <v>49</v>
      </c>
      <c r="J27" s="28" t="s">
        <v>25</v>
      </c>
      <c r="P27" s="10"/>
    </row>
    <row r="28" spans="1:16" x14ac:dyDescent="0.2">
      <c r="A28" t="s">
        <v>101</v>
      </c>
      <c r="B28" t="s">
        <v>210</v>
      </c>
      <c r="C28" s="28" t="s">
        <v>118</v>
      </c>
      <c r="D28" s="28" t="s">
        <v>25</v>
      </c>
      <c r="E28" s="7"/>
      <c r="F28" s="8"/>
      <c r="G28" s="7"/>
      <c r="H28" s="10">
        <f t="shared" si="0"/>
        <v>27</v>
      </c>
      <c r="I28" s="28" t="s">
        <v>118</v>
      </c>
      <c r="J28" s="28" t="s">
        <v>25</v>
      </c>
      <c r="P28" s="10"/>
    </row>
    <row r="29" spans="1:16" x14ac:dyDescent="0.2">
      <c r="A29" t="s">
        <v>101</v>
      </c>
      <c r="B29" t="s">
        <v>210</v>
      </c>
      <c r="C29" s="28" t="s">
        <v>119</v>
      </c>
      <c r="D29" s="28" t="s">
        <v>25</v>
      </c>
      <c r="E29" s="7"/>
      <c r="F29" s="8"/>
      <c r="G29" s="7"/>
      <c r="H29" s="10">
        <f t="shared" si="0"/>
        <v>28</v>
      </c>
      <c r="I29" s="28" t="s">
        <v>119</v>
      </c>
      <c r="J29" s="28" t="s">
        <v>25</v>
      </c>
      <c r="P29" s="10"/>
    </row>
    <row r="30" spans="1:16" x14ac:dyDescent="0.2">
      <c r="A30" t="s">
        <v>101</v>
      </c>
      <c r="B30" t="s">
        <v>210</v>
      </c>
      <c r="C30" s="28" t="s">
        <v>121</v>
      </c>
      <c r="D30" s="28" t="s">
        <v>25</v>
      </c>
      <c r="E30" s="7"/>
      <c r="F30" s="8"/>
      <c r="G30" s="7"/>
      <c r="H30" s="10">
        <f t="shared" si="0"/>
        <v>29</v>
      </c>
      <c r="I30" s="28" t="s">
        <v>121</v>
      </c>
      <c r="J30" s="28" t="s">
        <v>25</v>
      </c>
      <c r="P30" s="10"/>
    </row>
    <row r="31" spans="1:16" x14ac:dyDescent="0.2">
      <c r="A31" t="s">
        <v>101</v>
      </c>
      <c r="B31" t="s">
        <v>210</v>
      </c>
      <c r="C31" s="28" t="s">
        <v>128</v>
      </c>
      <c r="D31" s="28" t="s">
        <v>25</v>
      </c>
      <c r="E31" s="7"/>
      <c r="F31" s="8"/>
      <c r="G31" s="7"/>
      <c r="H31" s="10">
        <f t="shared" si="0"/>
        <v>30</v>
      </c>
      <c r="I31" s="28" t="s">
        <v>128</v>
      </c>
      <c r="J31" s="28" t="s">
        <v>25</v>
      </c>
      <c r="P31" s="10"/>
    </row>
    <row r="32" spans="1:16" x14ac:dyDescent="0.2">
      <c r="A32" t="s">
        <v>101</v>
      </c>
      <c r="B32" t="s">
        <v>210</v>
      </c>
      <c r="C32" s="28" t="s">
        <v>130</v>
      </c>
      <c r="D32" s="28" t="s">
        <v>25</v>
      </c>
      <c r="E32" s="7"/>
      <c r="F32" s="8"/>
      <c r="G32" s="7"/>
      <c r="H32" s="10">
        <f t="shared" si="0"/>
        <v>31</v>
      </c>
      <c r="I32" s="28" t="s">
        <v>130</v>
      </c>
      <c r="J32" s="28" t="s">
        <v>25</v>
      </c>
      <c r="P32" s="10"/>
    </row>
    <row r="33" spans="1:16" x14ac:dyDescent="0.2">
      <c r="A33" t="s">
        <v>101</v>
      </c>
      <c r="B33" t="s">
        <v>210</v>
      </c>
      <c r="C33" s="28" t="s">
        <v>132</v>
      </c>
      <c r="D33" s="28" t="s">
        <v>195</v>
      </c>
      <c r="E33" s="7"/>
      <c r="F33" s="8"/>
      <c r="G33" s="7"/>
      <c r="H33" s="10">
        <f t="shared" si="0"/>
        <v>32</v>
      </c>
      <c r="I33" s="28" t="s">
        <v>132</v>
      </c>
      <c r="J33" s="28" t="s">
        <v>195</v>
      </c>
      <c r="P33" s="10"/>
    </row>
    <row r="34" spans="1:16" x14ac:dyDescent="0.2">
      <c r="A34" t="s">
        <v>101</v>
      </c>
      <c r="B34" t="s">
        <v>210</v>
      </c>
      <c r="C34" s="28" t="s">
        <v>133</v>
      </c>
      <c r="D34" s="28" t="s">
        <v>25</v>
      </c>
      <c r="E34" s="7"/>
      <c r="F34" s="8"/>
      <c r="G34" s="7"/>
      <c r="H34" s="10">
        <f t="shared" si="0"/>
        <v>33</v>
      </c>
      <c r="I34" s="28" t="s">
        <v>133</v>
      </c>
      <c r="J34" s="28" t="s">
        <v>25</v>
      </c>
      <c r="P34" s="10"/>
    </row>
    <row r="35" spans="1:16" x14ac:dyDescent="0.2">
      <c r="A35" t="s">
        <v>101</v>
      </c>
      <c r="B35" t="s">
        <v>210</v>
      </c>
      <c r="C35" s="28" t="s">
        <v>160</v>
      </c>
      <c r="D35" s="28" t="s">
        <v>25</v>
      </c>
      <c r="E35" s="7"/>
      <c r="F35" s="8"/>
      <c r="G35" s="7"/>
      <c r="H35" s="10">
        <f t="shared" si="0"/>
        <v>34</v>
      </c>
      <c r="I35" s="28" t="s">
        <v>160</v>
      </c>
      <c r="J35" s="28" t="s">
        <v>25</v>
      </c>
      <c r="P35" s="10"/>
    </row>
    <row r="36" spans="1:16" x14ac:dyDescent="0.2">
      <c r="A36" t="s">
        <v>101</v>
      </c>
      <c r="B36" t="s">
        <v>210</v>
      </c>
      <c r="C36" s="28" t="s">
        <v>181</v>
      </c>
      <c r="D36" s="28" t="s">
        <v>195</v>
      </c>
      <c r="E36" s="7"/>
      <c r="F36" s="8"/>
      <c r="G36" s="7"/>
      <c r="H36" s="10">
        <f t="shared" si="0"/>
        <v>35</v>
      </c>
      <c r="I36" s="28" t="s">
        <v>181</v>
      </c>
      <c r="J36" s="28" t="s">
        <v>195</v>
      </c>
      <c r="P36" s="10"/>
    </row>
    <row r="37" spans="1:16" x14ac:dyDescent="0.2">
      <c r="A37" t="s">
        <v>101</v>
      </c>
      <c r="B37" t="s">
        <v>210</v>
      </c>
      <c r="C37" s="28" t="s">
        <v>59</v>
      </c>
      <c r="D37" s="28" t="s">
        <v>32</v>
      </c>
      <c r="E37" s="7"/>
      <c r="F37" s="8"/>
      <c r="G37" s="7"/>
      <c r="H37" s="10">
        <f t="shared" si="0"/>
        <v>36</v>
      </c>
      <c r="I37" s="28" t="s">
        <v>59</v>
      </c>
      <c r="J37" s="28" t="s">
        <v>32</v>
      </c>
      <c r="P37" s="10"/>
    </row>
    <row r="38" spans="1:16" x14ac:dyDescent="0.2">
      <c r="A38" t="s">
        <v>101</v>
      </c>
      <c r="B38" t="s">
        <v>210</v>
      </c>
      <c r="C38" s="28" t="s">
        <v>187</v>
      </c>
      <c r="D38" s="28" t="s">
        <v>25</v>
      </c>
      <c r="E38" s="7"/>
      <c r="F38" s="8"/>
      <c r="G38" s="7"/>
      <c r="H38" s="10">
        <f t="shared" si="0"/>
        <v>37</v>
      </c>
      <c r="I38" s="28" t="s">
        <v>187</v>
      </c>
      <c r="J38" s="28" t="s">
        <v>25</v>
      </c>
      <c r="P38" s="10"/>
    </row>
    <row r="39" spans="1:16" x14ac:dyDescent="0.2">
      <c r="A39" t="s">
        <v>101</v>
      </c>
      <c r="B39" t="s">
        <v>210</v>
      </c>
      <c r="C39" s="28" t="s">
        <v>188</v>
      </c>
      <c r="D39" s="28" t="s">
        <v>32</v>
      </c>
      <c r="E39" s="7"/>
      <c r="F39" s="8"/>
      <c r="G39" s="7"/>
      <c r="H39" s="10">
        <f t="shared" si="0"/>
        <v>38</v>
      </c>
      <c r="I39" s="28" t="s">
        <v>188</v>
      </c>
      <c r="J39" s="28" t="s">
        <v>32</v>
      </c>
      <c r="P39" s="10"/>
    </row>
    <row r="40" spans="1:16" x14ac:dyDescent="0.2">
      <c r="A40" t="s">
        <v>101</v>
      </c>
      <c r="B40" t="s">
        <v>210</v>
      </c>
      <c r="C40" s="28" t="s">
        <v>96</v>
      </c>
      <c r="D40" s="28" t="s">
        <v>30</v>
      </c>
      <c r="E40" s="7"/>
      <c r="F40" s="8"/>
      <c r="G40" s="7"/>
      <c r="H40" s="10">
        <f t="shared" si="0"/>
        <v>39</v>
      </c>
      <c r="I40" s="28" t="s">
        <v>29</v>
      </c>
      <c r="J40" s="28" t="s">
        <v>97</v>
      </c>
      <c r="P40" s="10"/>
    </row>
    <row r="41" spans="1:16" x14ac:dyDescent="0.2">
      <c r="A41" t="s">
        <v>101</v>
      </c>
      <c r="B41" t="s">
        <v>210</v>
      </c>
      <c r="C41" s="28" t="s">
        <v>31</v>
      </c>
      <c r="D41" s="28" t="s">
        <v>25</v>
      </c>
      <c r="E41" s="7"/>
      <c r="F41" s="8"/>
      <c r="G41" s="7"/>
      <c r="H41" s="10">
        <f t="shared" si="0"/>
        <v>40</v>
      </c>
      <c r="I41" s="28" t="s">
        <v>31</v>
      </c>
      <c r="J41" s="28" t="s">
        <v>25</v>
      </c>
      <c r="P41" s="10"/>
    </row>
    <row r="42" spans="1:16" x14ac:dyDescent="0.2">
      <c r="D42" s="7"/>
      <c r="E42" s="7"/>
      <c r="F42" s="8"/>
      <c r="G42" s="7"/>
      <c r="H42" s="10"/>
      <c r="I42" s="3"/>
      <c r="J42" s="3"/>
      <c r="P42" s="10"/>
    </row>
  </sheetData>
  <pageMargins left="0.7" right="0.7" top="0.75" bottom="0.75" header="0.3" footer="0.3"/>
  <pageSetup orientation="portrait" verticalDpi="599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C9EB4-A504-3E42-B2EB-F2BF343A8FC2}">
  <sheetPr codeName="Sheet18">
    <tabColor theme="7" tint="0.39997558519241921"/>
  </sheetPr>
  <dimension ref="A1:I2"/>
  <sheetViews>
    <sheetView workbookViewId="0">
      <selection activeCell="E13" sqref="E13"/>
    </sheetView>
  </sheetViews>
  <sheetFormatPr baseColWidth="10" defaultRowHeight="15" x14ac:dyDescent="0.2"/>
  <cols>
    <col min="1" max="1" width="9.6640625" bestFit="1" customWidth="1"/>
    <col min="2" max="2" width="34.5" bestFit="1" customWidth="1"/>
    <col min="4" max="4" width="20.5" customWidth="1"/>
    <col min="5" max="5" width="48.1640625" customWidth="1"/>
  </cols>
  <sheetData>
    <row r="1" spans="1:9" ht="32" x14ac:dyDescent="0.2">
      <c r="A1" s="1" t="s">
        <v>0</v>
      </c>
      <c r="B1" s="1" t="s">
        <v>1</v>
      </c>
      <c r="C1" s="1" t="s">
        <v>2</v>
      </c>
      <c r="D1" s="1" t="s">
        <v>3</v>
      </c>
      <c r="E1" s="61" t="s">
        <v>549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ht="128" x14ac:dyDescent="0.2">
      <c r="A2" t="s">
        <v>101</v>
      </c>
      <c r="B2" s="27" t="s">
        <v>109</v>
      </c>
      <c r="C2" t="s">
        <v>211</v>
      </c>
      <c r="D2" t="s">
        <v>551</v>
      </c>
      <c r="E2" s="9" t="s">
        <v>552</v>
      </c>
      <c r="F2">
        <v>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8CCB8-83A7-F940-A36F-0D71AB1F406C}">
  <sheetPr codeName="Sheet19"/>
  <dimension ref="A1:S10"/>
  <sheetViews>
    <sheetView workbookViewId="0">
      <selection activeCell="J27" sqref="J27:J28"/>
    </sheetView>
  </sheetViews>
  <sheetFormatPr baseColWidth="10" defaultColWidth="9.1640625" defaultRowHeight="15" x14ac:dyDescent="0.2"/>
  <cols>
    <col min="1" max="1" width="14.83203125" customWidth="1"/>
    <col min="2" max="2" width="13" customWidth="1"/>
    <col min="3" max="3" width="24.1640625" customWidth="1"/>
    <col min="4" max="4" width="16.83203125" customWidth="1"/>
    <col min="5" max="5" width="16.83203125" style="1" bestFit="1" customWidth="1"/>
    <col min="6" max="6" width="13.83203125" bestFit="1" customWidth="1"/>
    <col min="7" max="7" width="14.83203125" customWidth="1"/>
    <col min="8" max="8" width="9" bestFit="1" customWidth="1"/>
    <col min="9" max="9" width="25.1640625" bestFit="1" customWidth="1"/>
    <col min="10" max="10" width="20.5" customWidth="1"/>
    <col min="11" max="11" width="18.33203125" customWidth="1"/>
    <col min="12" max="12" width="16.1640625" customWidth="1"/>
    <col min="13" max="13" width="30.6640625" bestFit="1" customWidth="1"/>
    <col min="14" max="14" width="30.6640625" customWidth="1"/>
    <col min="15" max="15" width="17.5" customWidth="1"/>
    <col min="16" max="16" width="11.6640625" customWidth="1"/>
    <col min="17" max="17" width="14.83203125" customWidth="1"/>
    <col min="18" max="18" width="15.6640625" customWidth="1"/>
    <col min="19" max="19" width="24.5" bestFit="1" customWidth="1"/>
  </cols>
  <sheetData>
    <row r="1" spans="1:19" s="1" customFormat="1" ht="16" x14ac:dyDescent="0.2">
      <c r="A1" s="1" t="s">
        <v>0</v>
      </c>
      <c r="B1" s="1" t="s">
        <v>1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559</v>
      </c>
      <c r="L1" s="1" t="s">
        <v>17</v>
      </c>
      <c r="M1" s="1" t="s">
        <v>18</v>
      </c>
      <c r="N1" s="1" t="s">
        <v>566</v>
      </c>
      <c r="O1" s="1" t="s">
        <v>19</v>
      </c>
      <c r="P1" s="1" t="s">
        <v>20</v>
      </c>
      <c r="Q1" s="1" t="s">
        <v>21</v>
      </c>
      <c r="R1" s="1" t="s">
        <v>22</v>
      </c>
      <c r="S1" s="1" t="s">
        <v>104</v>
      </c>
    </row>
    <row r="2" spans="1:19" ht="176" x14ac:dyDescent="0.2">
      <c r="A2" t="s">
        <v>101</v>
      </c>
      <c r="B2" t="s">
        <v>211</v>
      </c>
      <c r="C2" s="28" t="s">
        <v>209</v>
      </c>
      <c r="D2" s="28" t="s">
        <v>25</v>
      </c>
      <c r="E2" s="7"/>
      <c r="F2" s="7"/>
      <c r="G2" s="7"/>
      <c r="H2" s="10">
        <v>1</v>
      </c>
      <c r="I2" s="28" t="s">
        <v>209</v>
      </c>
      <c r="J2" s="28" t="s">
        <v>25</v>
      </c>
      <c r="K2" s="1" t="s">
        <v>564</v>
      </c>
      <c r="L2" s="1" t="s">
        <v>492</v>
      </c>
      <c r="M2" t="s">
        <v>26</v>
      </c>
      <c r="N2" s="9" t="s">
        <v>537</v>
      </c>
      <c r="P2" s="10"/>
      <c r="S2" t="s">
        <v>512</v>
      </c>
    </row>
    <row r="3" spans="1:19" x14ac:dyDescent="0.2">
      <c r="A3" t="s">
        <v>101</v>
      </c>
      <c r="B3" t="s">
        <v>211</v>
      </c>
      <c r="C3" s="28" t="s">
        <v>106</v>
      </c>
      <c r="D3" s="28" t="s">
        <v>25</v>
      </c>
      <c r="E3" s="7"/>
      <c r="F3" s="8"/>
      <c r="G3" s="7"/>
      <c r="H3" s="10">
        <v>2</v>
      </c>
      <c r="I3" s="28" t="s">
        <v>513</v>
      </c>
      <c r="J3" s="28" t="s">
        <v>25</v>
      </c>
      <c r="M3" t="s">
        <v>26</v>
      </c>
      <c r="P3" s="10"/>
    </row>
    <row r="4" spans="1:19" x14ac:dyDescent="0.2">
      <c r="A4" t="s">
        <v>101</v>
      </c>
      <c r="B4" t="s">
        <v>211</v>
      </c>
      <c r="C4" s="28" t="s">
        <v>237</v>
      </c>
      <c r="D4" s="28" t="s">
        <v>25</v>
      </c>
      <c r="E4" s="7"/>
      <c r="F4" s="8"/>
      <c r="G4" s="7"/>
      <c r="H4" s="10">
        <v>3</v>
      </c>
      <c r="I4" s="28" t="s">
        <v>237</v>
      </c>
      <c r="J4" s="28" t="s">
        <v>25</v>
      </c>
      <c r="P4" s="10"/>
    </row>
    <row r="5" spans="1:19" x14ac:dyDescent="0.2">
      <c r="A5" t="s">
        <v>101</v>
      </c>
      <c r="B5" t="s">
        <v>211</v>
      </c>
      <c r="C5" s="28" t="s">
        <v>235</v>
      </c>
      <c r="D5" s="28" t="s">
        <v>25</v>
      </c>
      <c r="E5" s="7"/>
      <c r="F5" s="8"/>
      <c r="G5" s="7"/>
      <c r="H5" s="10">
        <v>4</v>
      </c>
      <c r="I5" s="28" t="s">
        <v>235</v>
      </c>
      <c r="J5" s="28" t="s">
        <v>25</v>
      </c>
      <c r="P5" s="10"/>
    </row>
    <row r="6" spans="1:19" x14ac:dyDescent="0.2">
      <c r="A6" t="s">
        <v>101</v>
      </c>
      <c r="B6" t="s">
        <v>211</v>
      </c>
      <c r="C6" s="28" t="s">
        <v>116</v>
      </c>
      <c r="D6" s="28" t="s">
        <v>25</v>
      </c>
      <c r="E6" s="7"/>
      <c r="F6" s="13"/>
      <c r="G6" s="14"/>
      <c r="H6" s="10">
        <v>5</v>
      </c>
      <c r="I6" s="28" t="s">
        <v>116</v>
      </c>
      <c r="J6" s="28" t="s">
        <v>25</v>
      </c>
      <c r="P6" s="10"/>
    </row>
    <row r="7" spans="1:19" x14ac:dyDescent="0.2">
      <c r="A7" t="s">
        <v>101</v>
      </c>
      <c r="B7" t="s">
        <v>211</v>
      </c>
      <c r="C7" s="28" t="s">
        <v>119</v>
      </c>
      <c r="D7" s="28" t="s">
        <v>25</v>
      </c>
      <c r="E7" s="7"/>
      <c r="F7" s="13"/>
      <c r="G7" s="14"/>
      <c r="H7" s="10">
        <v>6</v>
      </c>
      <c r="I7" s="28" t="s">
        <v>119</v>
      </c>
      <c r="J7" s="28" t="s">
        <v>25</v>
      </c>
      <c r="P7" s="10"/>
    </row>
    <row r="8" spans="1:19" x14ac:dyDescent="0.2">
      <c r="A8" t="s">
        <v>101</v>
      </c>
      <c r="B8" t="s">
        <v>211</v>
      </c>
      <c r="C8" s="28" t="s">
        <v>224</v>
      </c>
      <c r="D8" s="28" t="s">
        <v>25</v>
      </c>
      <c r="E8" s="7"/>
      <c r="F8" s="13"/>
      <c r="G8" s="14"/>
      <c r="H8" s="10">
        <v>7</v>
      </c>
      <c r="I8" s="28" t="s">
        <v>224</v>
      </c>
      <c r="J8" s="28" t="s">
        <v>25</v>
      </c>
      <c r="P8" s="10"/>
    </row>
    <row r="9" spans="1:19" x14ac:dyDescent="0.2">
      <c r="A9" t="s">
        <v>101</v>
      </c>
      <c r="B9" t="s">
        <v>211</v>
      </c>
      <c r="C9" s="28" t="s">
        <v>96</v>
      </c>
      <c r="D9" s="28" t="s">
        <v>30</v>
      </c>
      <c r="E9" s="7"/>
      <c r="F9" s="8"/>
      <c r="G9" s="7"/>
      <c r="H9" s="10">
        <v>8</v>
      </c>
      <c r="I9" s="28" t="s">
        <v>29</v>
      </c>
      <c r="J9" s="28" t="s">
        <v>97</v>
      </c>
      <c r="P9" s="10"/>
    </row>
    <row r="10" spans="1:19" x14ac:dyDescent="0.2">
      <c r="A10" t="s">
        <v>101</v>
      </c>
      <c r="B10" t="s">
        <v>211</v>
      </c>
      <c r="C10" s="28" t="s">
        <v>31</v>
      </c>
      <c r="D10" s="28" t="s">
        <v>25</v>
      </c>
      <c r="E10" s="7"/>
      <c r="F10" s="8"/>
      <c r="G10" s="7"/>
      <c r="H10" s="10">
        <v>9</v>
      </c>
      <c r="I10" s="28" t="s">
        <v>31</v>
      </c>
      <c r="J10" s="28" t="s">
        <v>25</v>
      </c>
      <c r="P10" s="10"/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61DB4-ED56-4A6F-8E99-F60F0AA4C3CC}">
  <sheetPr codeName="Sheet21"/>
  <dimension ref="A1:A23"/>
  <sheetViews>
    <sheetView zoomScale="111" zoomScaleNormal="111" workbookViewId="0">
      <selection activeCell="F33" sqref="F33"/>
    </sheetView>
  </sheetViews>
  <sheetFormatPr baseColWidth="10" defaultColWidth="8.83203125" defaultRowHeight="15" x14ac:dyDescent="0.2"/>
  <cols>
    <col min="1" max="1" width="84" style="1" customWidth="1"/>
    <col min="6" max="6" width="63.33203125" customWidth="1"/>
  </cols>
  <sheetData>
    <row r="1" spans="1:1" x14ac:dyDescent="0.2">
      <c r="A1" t="s">
        <v>199</v>
      </c>
    </row>
    <row r="2" spans="1:1" x14ac:dyDescent="0.2">
      <c r="A2"/>
    </row>
    <row r="3" spans="1:1" x14ac:dyDescent="0.2">
      <c r="A3"/>
    </row>
    <row r="4" spans="1:1" x14ac:dyDescent="0.2">
      <c r="A4"/>
    </row>
    <row r="5" spans="1:1" x14ac:dyDescent="0.2">
      <c r="A5"/>
    </row>
    <row r="6" spans="1:1" x14ac:dyDescent="0.2">
      <c r="A6"/>
    </row>
    <row r="7" spans="1:1" x14ac:dyDescent="0.2">
      <c r="A7"/>
    </row>
    <row r="8" spans="1:1" x14ac:dyDescent="0.2">
      <c r="A8"/>
    </row>
    <row r="9" spans="1:1" x14ac:dyDescent="0.2">
      <c r="A9"/>
    </row>
    <row r="10" spans="1:1" x14ac:dyDescent="0.2">
      <c r="A10"/>
    </row>
    <row r="11" spans="1:1" x14ac:dyDescent="0.2">
      <c r="A11"/>
    </row>
    <row r="12" spans="1:1" x14ac:dyDescent="0.2">
      <c r="A12"/>
    </row>
    <row r="13" spans="1:1" x14ac:dyDescent="0.2">
      <c r="A13"/>
    </row>
    <row r="14" spans="1:1" x14ac:dyDescent="0.2">
      <c r="A14"/>
    </row>
    <row r="15" spans="1:1" x14ac:dyDescent="0.2">
      <c r="A15"/>
    </row>
    <row r="16" spans="1:1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</sheetData>
  <pageMargins left="0.7" right="0.7" top="0.75" bottom="0.75" header="0.3" footer="0.3"/>
  <pageSetup orientation="portrait" verticalDpi="599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3F429-92B5-4354-B379-205232A11AEE}">
  <sheetPr codeName="Sheet22"/>
  <dimension ref="A1:A143"/>
  <sheetViews>
    <sheetView workbookViewId="0">
      <selection sqref="A1:A1048576"/>
    </sheetView>
  </sheetViews>
  <sheetFormatPr baseColWidth="10" defaultColWidth="8.83203125" defaultRowHeight="15" x14ac:dyDescent="0.2"/>
  <cols>
    <col min="1" max="1" width="127.6640625" customWidth="1"/>
  </cols>
  <sheetData>
    <row r="1" spans="1:1" x14ac:dyDescent="0.2">
      <c r="A1" s="24"/>
    </row>
    <row r="2" spans="1:1" x14ac:dyDescent="0.2">
      <c r="A2" s="24"/>
    </row>
    <row r="3" spans="1:1" x14ac:dyDescent="0.2">
      <c r="A3" s="24"/>
    </row>
    <row r="4" spans="1:1" x14ac:dyDescent="0.2">
      <c r="A4" s="24"/>
    </row>
    <row r="5" spans="1:1" x14ac:dyDescent="0.2">
      <c r="A5" s="24"/>
    </row>
    <row r="6" spans="1:1" x14ac:dyDescent="0.2">
      <c r="A6" s="24"/>
    </row>
    <row r="7" spans="1:1" x14ac:dyDescent="0.2">
      <c r="A7" s="24"/>
    </row>
    <row r="8" spans="1:1" x14ac:dyDescent="0.2">
      <c r="A8" s="24"/>
    </row>
    <row r="9" spans="1:1" x14ac:dyDescent="0.2">
      <c r="A9" s="24"/>
    </row>
    <row r="10" spans="1:1" x14ac:dyDescent="0.2">
      <c r="A10" s="24"/>
    </row>
    <row r="11" spans="1:1" x14ac:dyDescent="0.2">
      <c r="A11" s="24"/>
    </row>
    <row r="12" spans="1:1" x14ac:dyDescent="0.2">
      <c r="A12" s="24"/>
    </row>
    <row r="13" spans="1:1" x14ac:dyDescent="0.2">
      <c r="A13" s="24"/>
    </row>
    <row r="14" spans="1:1" x14ac:dyDescent="0.2">
      <c r="A14" s="24"/>
    </row>
    <row r="15" spans="1:1" x14ac:dyDescent="0.2">
      <c r="A15" s="24"/>
    </row>
    <row r="16" spans="1:1" x14ac:dyDescent="0.2">
      <c r="A16" s="24"/>
    </row>
    <row r="17" spans="1:1" x14ac:dyDescent="0.2">
      <c r="A17" s="24"/>
    </row>
    <row r="18" spans="1:1" x14ac:dyDescent="0.2">
      <c r="A18" s="24"/>
    </row>
    <row r="19" spans="1:1" x14ac:dyDescent="0.2">
      <c r="A19" s="24"/>
    </row>
    <row r="20" spans="1:1" x14ac:dyDescent="0.2">
      <c r="A20" s="24"/>
    </row>
    <row r="21" spans="1:1" x14ac:dyDescent="0.2">
      <c r="A21" s="24"/>
    </row>
    <row r="22" spans="1:1" x14ac:dyDescent="0.2">
      <c r="A22" s="24"/>
    </row>
    <row r="23" spans="1:1" x14ac:dyDescent="0.2">
      <c r="A23" s="24"/>
    </row>
    <row r="24" spans="1:1" x14ac:dyDescent="0.2">
      <c r="A24" s="24"/>
    </row>
    <row r="25" spans="1:1" x14ac:dyDescent="0.2">
      <c r="A25" s="24"/>
    </row>
    <row r="26" spans="1:1" x14ac:dyDescent="0.2">
      <c r="A26" s="24"/>
    </row>
    <row r="27" spans="1:1" x14ac:dyDescent="0.2">
      <c r="A27" s="24"/>
    </row>
    <row r="28" spans="1:1" x14ac:dyDescent="0.2">
      <c r="A28" s="24"/>
    </row>
    <row r="29" spans="1:1" x14ac:dyDescent="0.2">
      <c r="A29" s="24"/>
    </row>
    <row r="30" spans="1:1" x14ac:dyDescent="0.2">
      <c r="A30" s="24"/>
    </row>
    <row r="31" spans="1:1" x14ac:dyDescent="0.2">
      <c r="A31" s="24"/>
    </row>
    <row r="32" spans="1:1" x14ac:dyDescent="0.2">
      <c r="A32" s="24"/>
    </row>
    <row r="33" spans="1:1" x14ac:dyDescent="0.2">
      <c r="A33" s="24"/>
    </row>
    <row r="34" spans="1:1" x14ac:dyDescent="0.2">
      <c r="A34" s="24"/>
    </row>
    <row r="35" spans="1:1" x14ac:dyDescent="0.2">
      <c r="A35" s="24"/>
    </row>
    <row r="36" spans="1:1" x14ac:dyDescent="0.2">
      <c r="A36" s="24"/>
    </row>
    <row r="37" spans="1:1" x14ac:dyDescent="0.2">
      <c r="A37" s="24"/>
    </row>
    <row r="38" spans="1:1" x14ac:dyDescent="0.2">
      <c r="A38" s="24"/>
    </row>
    <row r="39" spans="1:1" x14ac:dyDescent="0.2">
      <c r="A39" s="24"/>
    </row>
    <row r="40" spans="1:1" x14ac:dyDescent="0.2">
      <c r="A40" s="24"/>
    </row>
    <row r="41" spans="1:1" x14ac:dyDescent="0.2">
      <c r="A41" s="24"/>
    </row>
    <row r="42" spans="1:1" x14ac:dyDescent="0.2">
      <c r="A42" s="24"/>
    </row>
    <row r="43" spans="1:1" x14ac:dyDescent="0.2">
      <c r="A43" s="24"/>
    </row>
    <row r="44" spans="1:1" x14ac:dyDescent="0.2">
      <c r="A44" s="24"/>
    </row>
    <row r="45" spans="1:1" x14ac:dyDescent="0.2">
      <c r="A45" s="24"/>
    </row>
    <row r="46" spans="1:1" x14ac:dyDescent="0.2">
      <c r="A46" s="24"/>
    </row>
    <row r="47" spans="1:1" x14ac:dyDescent="0.2">
      <c r="A47" s="24"/>
    </row>
    <row r="48" spans="1:1" x14ac:dyDescent="0.2">
      <c r="A48" s="24"/>
    </row>
    <row r="49" spans="1:1" x14ac:dyDescent="0.2">
      <c r="A49" s="24"/>
    </row>
    <row r="50" spans="1:1" x14ac:dyDescent="0.2">
      <c r="A50" s="24"/>
    </row>
    <row r="51" spans="1:1" x14ac:dyDescent="0.2">
      <c r="A51" s="24"/>
    </row>
    <row r="52" spans="1:1" x14ac:dyDescent="0.2">
      <c r="A52" s="24"/>
    </row>
    <row r="53" spans="1:1" x14ac:dyDescent="0.2">
      <c r="A53" s="24"/>
    </row>
    <row r="54" spans="1:1" x14ac:dyDescent="0.2">
      <c r="A54" s="24"/>
    </row>
    <row r="55" spans="1:1" x14ac:dyDescent="0.2">
      <c r="A55" s="24"/>
    </row>
    <row r="56" spans="1:1" x14ac:dyDescent="0.2">
      <c r="A56" s="24"/>
    </row>
    <row r="57" spans="1:1" x14ac:dyDescent="0.2">
      <c r="A57" s="24"/>
    </row>
    <row r="58" spans="1:1" x14ac:dyDescent="0.2">
      <c r="A58" s="24"/>
    </row>
    <row r="59" spans="1:1" x14ac:dyDescent="0.2">
      <c r="A59" s="24"/>
    </row>
    <row r="60" spans="1:1" x14ac:dyDescent="0.2">
      <c r="A60" s="24"/>
    </row>
    <row r="61" spans="1:1" x14ac:dyDescent="0.2">
      <c r="A61" s="24"/>
    </row>
    <row r="62" spans="1:1" x14ac:dyDescent="0.2">
      <c r="A62" s="24"/>
    </row>
    <row r="63" spans="1:1" x14ac:dyDescent="0.2">
      <c r="A63" s="24"/>
    </row>
    <row r="64" spans="1:1" x14ac:dyDescent="0.2">
      <c r="A64" s="24"/>
    </row>
    <row r="65" spans="1:1" x14ac:dyDescent="0.2">
      <c r="A65" s="24"/>
    </row>
    <row r="66" spans="1:1" x14ac:dyDescent="0.2">
      <c r="A66" s="24"/>
    </row>
    <row r="67" spans="1:1" x14ac:dyDescent="0.2">
      <c r="A67" s="24"/>
    </row>
    <row r="68" spans="1:1" x14ac:dyDescent="0.2">
      <c r="A68" s="24"/>
    </row>
    <row r="69" spans="1:1" x14ac:dyDescent="0.2">
      <c r="A69" s="24"/>
    </row>
    <row r="70" spans="1:1" x14ac:dyDescent="0.2">
      <c r="A70" s="24"/>
    </row>
    <row r="71" spans="1:1" x14ac:dyDescent="0.2">
      <c r="A71" s="24"/>
    </row>
    <row r="72" spans="1:1" x14ac:dyDescent="0.2">
      <c r="A72" s="24"/>
    </row>
    <row r="73" spans="1:1" x14ac:dyDescent="0.2">
      <c r="A73" s="24"/>
    </row>
    <row r="74" spans="1:1" x14ac:dyDescent="0.2">
      <c r="A74" s="24"/>
    </row>
    <row r="75" spans="1:1" x14ac:dyDescent="0.2">
      <c r="A75" s="24"/>
    </row>
    <row r="76" spans="1:1" x14ac:dyDescent="0.2">
      <c r="A76" s="24"/>
    </row>
    <row r="77" spans="1:1" x14ac:dyDescent="0.2">
      <c r="A77" s="24"/>
    </row>
    <row r="78" spans="1:1" x14ac:dyDescent="0.2">
      <c r="A78" s="24"/>
    </row>
    <row r="79" spans="1:1" x14ac:dyDescent="0.2">
      <c r="A79" s="24"/>
    </row>
    <row r="80" spans="1:1" x14ac:dyDescent="0.2">
      <c r="A80" s="24"/>
    </row>
    <row r="81" spans="1:1" x14ac:dyDescent="0.2">
      <c r="A81" s="24"/>
    </row>
    <row r="82" spans="1:1" x14ac:dyDescent="0.2">
      <c r="A82" s="24"/>
    </row>
    <row r="83" spans="1:1" x14ac:dyDescent="0.2">
      <c r="A83" s="24"/>
    </row>
    <row r="84" spans="1:1" x14ac:dyDescent="0.2">
      <c r="A84" s="24"/>
    </row>
    <row r="85" spans="1:1" x14ac:dyDescent="0.2">
      <c r="A85" s="24"/>
    </row>
    <row r="86" spans="1:1" x14ac:dyDescent="0.2">
      <c r="A86" s="24"/>
    </row>
    <row r="87" spans="1:1" x14ac:dyDescent="0.2">
      <c r="A87" s="24"/>
    </row>
    <row r="88" spans="1:1" x14ac:dyDescent="0.2">
      <c r="A88" s="24"/>
    </row>
    <row r="89" spans="1:1" x14ac:dyDescent="0.2">
      <c r="A89" s="24"/>
    </row>
    <row r="90" spans="1:1" x14ac:dyDescent="0.2">
      <c r="A90" s="24"/>
    </row>
    <row r="91" spans="1:1" x14ac:dyDescent="0.2">
      <c r="A91" s="24"/>
    </row>
    <row r="92" spans="1:1" x14ac:dyDescent="0.2">
      <c r="A92" s="24"/>
    </row>
    <row r="93" spans="1:1" x14ac:dyDescent="0.2">
      <c r="A93" s="24"/>
    </row>
    <row r="94" spans="1:1" x14ac:dyDescent="0.2">
      <c r="A94" s="24"/>
    </row>
    <row r="95" spans="1:1" x14ac:dyDescent="0.2">
      <c r="A95" s="24"/>
    </row>
    <row r="96" spans="1:1" x14ac:dyDescent="0.2">
      <c r="A96" s="24"/>
    </row>
    <row r="97" spans="1:1" x14ac:dyDescent="0.2">
      <c r="A97" s="24"/>
    </row>
    <row r="98" spans="1:1" x14ac:dyDescent="0.2">
      <c r="A98" s="24"/>
    </row>
    <row r="99" spans="1:1" x14ac:dyDescent="0.2">
      <c r="A99" s="24"/>
    </row>
    <row r="100" spans="1:1" x14ac:dyDescent="0.2">
      <c r="A100" s="24"/>
    </row>
    <row r="101" spans="1:1" x14ac:dyDescent="0.2">
      <c r="A101" s="24"/>
    </row>
    <row r="102" spans="1:1" x14ac:dyDescent="0.2">
      <c r="A102" s="24"/>
    </row>
    <row r="103" spans="1:1" x14ac:dyDescent="0.2">
      <c r="A103" s="24"/>
    </row>
    <row r="104" spans="1:1" x14ac:dyDescent="0.2">
      <c r="A104" s="24"/>
    </row>
    <row r="105" spans="1:1" x14ac:dyDescent="0.2">
      <c r="A105" s="24"/>
    </row>
    <row r="106" spans="1:1" x14ac:dyDescent="0.2">
      <c r="A106" s="24"/>
    </row>
    <row r="107" spans="1:1" x14ac:dyDescent="0.2">
      <c r="A107" s="24"/>
    </row>
    <row r="108" spans="1:1" x14ac:dyDescent="0.2">
      <c r="A108" s="24"/>
    </row>
    <row r="109" spans="1:1" x14ac:dyDescent="0.2">
      <c r="A109" s="24"/>
    </row>
    <row r="110" spans="1:1" x14ac:dyDescent="0.2">
      <c r="A110" s="24"/>
    </row>
    <row r="111" spans="1:1" x14ac:dyDescent="0.2">
      <c r="A111" s="24"/>
    </row>
    <row r="112" spans="1:1" x14ac:dyDescent="0.2">
      <c r="A112" s="24"/>
    </row>
    <row r="113" spans="1:1" x14ac:dyDescent="0.2">
      <c r="A113" s="24"/>
    </row>
    <row r="114" spans="1:1" x14ac:dyDescent="0.2">
      <c r="A114" s="24"/>
    </row>
    <row r="115" spans="1:1" x14ac:dyDescent="0.2">
      <c r="A115" s="24"/>
    </row>
    <row r="116" spans="1:1" x14ac:dyDescent="0.2">
      <c r="A116" s="24"/>
    </row>
    <row r="117" spans="1:1" x14ac:dyDescent="0.2">
      <c r="A117" s="24"/>
    </row>
    <row r="118" spans="1:1" x14ac:dyDescent="0.2">
      <c r="A118" s="24"/>
    </row>
    <row r="119" spans="1:1" x14ac:dyDescent="0.2">
      <c r="A119" s="24"/>
    </row>
    <row r="120" spans="1:1" x14ac:dyDescent="0.2">
      <c r="A120" s="24"/>
    </row>
    <row r="121" spans="1:1" x14ac:dyDescent="0.2">
      <c r="A121" s="24"/>
    </row>
    <row r="122" spans="1:1" x14ac:dyDescent="0.2">
      <c r="A122" s="24"/>
    </row>
    <row r="123" spans="1:1" x14ac:dyDescent="0.2">
      <c r="A123" s="24"/>
    </row>
    <row r="124" spans="1:1" x14ac:dyDescent="0.2">
      <c r="A124" s="24"/>
    </row>
    <row r="125" spans="1:1" x14ac:dyDescent="0.2">
      <c r="A125" s="24"/>
    </row>
    <row r="126" spans="1:1" x14ac:dyDescent="0.2">
      <c r="A126" s="24"/>
    </row>
    <row r="127" spans="1:1" x14ac:dyDescent="0.2">
      <c r="A127" s="24"/>
    </row>
    <row r="128" spans="1:1" x14ac:dyDescent="0.2">
      <c r="A128" s="24"/>
    </row>
    <row r="129" spans="1:1" x14ac:dyDescent="0.2">
      <c r="A129" s="24"/>
    </row>
    <row r="130" spans="1:1" x14ac:dyDescent="0.2">
      <c r="A130" s="24"/>
    </row>
    <row r="131" spans="1:1" x14ac:dyDescent="0.2">
      <c r="A131" s="24"/>
    </row>
    <row r="132" spans="1:1" x14ac:dyDescent="0.2">
      <c r="A132" s="24"/>
    </row>
    <row r="133" spans="1:1" x14ac:dyDescent="0.2">
      <c r="A133" s="24"/>
    </row>
    <row r="134" spans="1:1" x14ac:dyDescent="0.2">
      <c r="A134" s="24"/>
    </row>
    <row r="135" spans="1:1" x14ac:dyDescent="0.2">
      <c r="A135" s="24"/>
    </row>
    <row r="136" spans="1:1" x14ac:dyDescent="0.2">
      <c r="A136" s="24"/>
    </row>
    <row r="137" spans="1:1" x14ac:dyDescent="0.2">
      <c r="A137" s="24"/>
    </row>
    <row r="138" spans="1:1" x14ac:dyDescent="0.2">
      <c r="A138" s="24"/>
    </row>
    <row r="139" spans="1:1" x14ac:dyDescent="0.2">
      <c r="A139" s="24"/>
    </row>
    <row r="140" spans="1:1" x14ac:dyDescent="0.2">
      <c r="A140" s="24"/>
    </row>
    <row r="141" spans="1:1" x14ac:dyDescent="0.2">
      <c r="A141" s="24"/>
    </row>
    <row r="142" spans="1:1" x14ac:dyDescent="0.2">
      <c r="A142" s="24"/>
    </row>
    <row r="143" spans="1:1" x14ac:dyDescent="0.2">
      <c r="A143" s="2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22B17B9CFE5E4E85A03C18F1EAB8B1" ma:contentTypeVersion="2" ma:contentTypeDescription="Create a new document." ma:contentTypeScope="" ma:versionID="0f60363ad0f7e669ea59b01e2081d03d">
  <xsd:schema xmlns:xsd="http://www.w3.org/2001/XMLSchema" xmlns:xs="http://www.w3.org/2001/XMLSchema" xmlns:p="http://schemas.microsoft.com/office/2006/metadata/properties" xmlns:ns1="http://schemas.microsoft.com/sharepoint/v3" xmlns:ns2="7abef3c9-7808-4711-a23f-7ef10414cdeb" xmlns:ns3="053589f3-c876-471c-85e5-73f586122026" xmlns:ns4="http://schemas.microsoft.com/sharepoint/v4" targetNamespace="http://schemas.microsoft.com/office/2006/metadata/properties" ma:root="true" ma:fieldsID="d4a67acfa4f730d91c75d0338fbf7caf" ns1:_="" ns2:_="" ns3:_="" ns4:_="">
    <xsd:import namespace="http://schemas.microsoft.com/sharepoint/v3"/>
    <xsd:import namespace="7abef3c9-7808-4711-a23f-7ef10414cdeb"/>
    <xsd:import namespace="053589f3-c876-471c-85e5-73f586122026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Category"/>
                <xsd:element ref="ns3:SharedWithUsers" minOccurs="0"/>
                <xsd:element ref="ns1:EmailSender" minOccurs="0"/>
                <xsd:element ref="ns1:EmailTo" minOccurs="0"/>
                <xsd:element ref="ns1:EmailCc" minOccurs="0"/>
                <xsd:element ref="ns1:EmailFrom" minOccurs="0"/>
                <xsd:element ref="ns1:EmailSubject" minOccurs="0"/>
                <xsd:element ref="ns4:EmailHead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EmailSender" ma:index="10" nillable="true" ma:displayName="E-Mail Sender" ma:description="" ma:hidden="true" ma:internalName="EmailSender">
      <xsd:simpleType>
        <xsd:restriction base="dms:Note">
          <xsd:maxLength value="255"/>
        </xsd:restriction>
      </xsd:simpleType>
    </xsd:element>
    <xsd:element name="EmailTo" ma:index="11" nillable="true" ma:displayName="E-Mail To" ma:description="" ma:hidden="true" ma:internalName="EmailTo">
      <xsd:simpleType>
        <xsd:restriction base="dms:Note">
          <xsd:maxLength value="255"/>
        </xsd:restriction>
      </xsd:simpleType>
    </xsd:element>
    <xsd:element name="EmailCc" ma:index="12" nillable="true" ma:displayName="E-Mail Cc" ma:description="" ma:hidden="true" ma:internalName="EmailCc">
      <xsd:simpleType>
        <xsd:restriction base="dms:Note">
          <xsd:maxLength value="255"/>
        </xsd:restriction>
      </xsd:simpleType>
    </xsd:element>
    <xsd:element name="EmailFrom" ma:index="13" nillable="true" ma:displayName="E-Mail From" ma:description="" ma:hidden="true" ma:internalName="EmailFrom">
      <xsd:simpleType>
        <xsd:restriction base="dms:Text"/>
      </xsd:simpleType>
    </xsd:element>
    <xsd:element name="EmailSubject" ma:index="14" nillable="true" ma:displayName="E-Mail Subject" ma:description="" ma:hidden="true" ma:internalName="EmailSubject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ef3c9-7808-4711-a23f-7ef10414cdeb" elementFormDefault="qualified">
    <xsd:import namespace="http://schemas.microsoft.com/office/2006/documentManagement/types"/>
    <xsd:import namespace="http://schemas.microsoft.com/office/infopath/2007/PartnerControls"/>
    <xsd:element name="Category" ma:index="4" ma:displayName="Category" ma:description="To identify key purpose/use/function of the document." ma:internalName="Category" ma:readOnly="false">
      <xsd:simpleType>
        <xsd:restriction base="dms:Text">
          <xsd:maxLength value="5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3589f3-c876-471c-85e5-73f586122026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EmailHeaders" ma:index="15" nillable="true" ma:displayName="E-Mail Headers" ma:description="" ma:hidden="true" ma:internalName="EmailHeaders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 ma:readOnly="tru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EmailTo xmlns="http://schemas.microsoft.com/sharepoint/v3" xsi:nil="true"/>
    <EmailHeaders xmlns="http://schemas.microsoft.com/sharepoint/v4" xsi:nil="true"/>
    <EmailSender xmlns="http://schemas.microsoft.com/sharepoint/v3" xsi:nil="true"/>
    <EmailFrom xmlns="http://schemas.microsoft.com/sharepoint/v3" xsi:nil="true"/>
    <EmailSubject xmlns="http://schemas.microsoft.com/sharepoint/v3" xsi:nil="true"/>
    <Category xmlns="7abef3c9-7808-4711-a23f-7ef10414cdeb">Mapping Document</Category>
    <EmailCc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/>
</file>

<file path=customXml/itemProps1.xml><?xml version="1.0" encoding="utf-8"?>
<ds:datastoreItem xmlns:ds="http://schemas.openxmlformats.org/officeDocument/2006/customXml" ds:itemID="{6179843F-649E-4B9B-95CA-D8C706E447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abef3c9-7808-4711-a23f-7ef10414cdeb"/>
    <ds:schemaRef ds:uri="053589f3-c876-471c-85e5-73f586122026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D08507-48C7-4080-B706-EE4EBC09B0CE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http://schemas.microsoft.com/sharepoint/v4"/>
    <ds:schemaRef ds:uri="7abef3c9-7808-4711-a23f-7ef10414cdeb"/>
  </ds:schemaRefs>
</ds:datastoreItem>
</file>

<file path=customXml/itemProps3.xml><?xml version="1.0" encoding="utf-8"?>
<ds:datastoreItem xmlns:ds="http://schemas.openxmlformats.org/officeDocument/2006/customXml" ds:itemID="{8787147C-6BCD-44DA-9C60-1310E7FDD08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Index</vt:lpstr>
      <vt:lpstr>STG CUST EMTK EBS SALES Tables</vt:lpstr>
      <vt:lpstr>STG CUST EMTK EBS SALES Columns</vt:lpstr>
      <vt:lpstr>STG CUSTOMER ML EBS Tables</vt:lpstr>
      <vt:lpstr>STG CUSTOMER ML EBS Columns</vt:lpstr>
      <vt:lpstr>STG CUSTOMER TT E21 Tables</vt:lpstr>
      <vt:lpstr>STG CUSTOMER TT E21 Columns</vt:lpstr>
      <vt:lpstr>STG SHIPMENT MOEN SAP Tables</vt:lpstr>
      <vt:lpstr>STG SHIPMENT MOEN SAP Columns</vt:lpstr>
      <vt:lpstr>STG SHP INPTS MOEN SAP Tables</vt:lpstr>
      <vt:lpstr>STG SHP INPTS MOEN SAP Columns</vt:lpstr>
      <vt:lpstr>HUB CUSTOMER Tables</vt:lpstr>
      <vt:lpstr>HUB CUSTOMER Columns</vt:lpstr>
      <vt:lpstr>SAT CUS DTL EMT EBS Tables</vt:lpstr>
      <vt:lpstr>SAT CUS DTL EMT EBS Columns</vt:lpstr>
      <vt:lpstr>SAT CUSTOMER ML EBS Tables</vt:lpstr>
      <vt:lpstr>SAT CUSTOMER ML EBS Columns</vt:lpstr>
      <vt:lpstr>Notes</vt:lpstr>
      <vt:lpstr>Sample SQL (optional)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Hickman Jeff</dc:creator>
  <cp:keywords/>
  <dc:description/>
  <cp:lastModifiedBy>Ganapathi, Santhakumar</cp:lastModifiedBy>
  <cp:revision/>
  <dcterms:created xsi:type="dcterms:W3CDTF">2020-06-29T17:46:11Z</dcterms:created>
  <dcterms:modified xsi:type="dcterms:W3CDTF">2024-09-05T18:09:00Z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0x0101005322B17B9CFE5E4E85A03C18F1EAB8B1</vt:lpwstr>
  </property>
</Properties>
</file>